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Applications" sheetId="2" state="visible" r:id="rId2"/>
    <sheet name="Scoring" sheetId="3" state="visible" r:id="rId3"/>
    <sheet name="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9C5560"/>
      <sz val="16"/>
    </font>
    <font>
      <color rgb="0033232A"/>
      <sz val="11"/>
    </font>
    <font>
      <b val="1"/>
      <color rgb="009C5560"/>
      <sz val="18"/>
    </font>
    <font>
      <i val="1"/>
      <color rgb="0033232A"/>
      <sz val="12"/>
    </font>
    <font>
      <b val="1"/>
      <color rgb="009C5560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B76E79"/>
      </patternFill>
    </fill>
  </fills>
  <borders count="2">
    <border>
      <left/>
      <right/>
      <top/>
      <bottom/>
      <diagonal/>
    </border>
    <border>
      <bottom style="thin">
        <color rgb="00E9DC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76E79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/>
    </row>
    <row r="2">
      <c r="A2" s="2" t="inlineStr"/>
      <c r="B2" s="3" t="inlineStr">
        <is>
          <t>Rose Kelley Scholarship — Reading Season Workbook</t>
        </is>
      </c>
    </row>
    <row r="3">
      <c r="B3" s="4" t="inlineStr">
        <is>
          <t>Two readers, one published rubric, every applicant scored the same way.</t>
        </is>
      </c>
    </row>
    <row r="5" ht="32" customHeight="1">
      <c r="A5" s="5" t="inlineStr">
        <is>
          <t>1.</t>
        </is>
      </c>
      <c r="B5" s="6" t="inlineStr">
        <is>
          <t>Export the applications: on the scholarship computer, run  node tools/export-applications.js</t>
        </is>
      </c>
    </row>
    <row r="6" ht="32" customHeight="1">
      <c r="A6" s="5" t="inlineStr">
        <is>
          <t>2.</t>
        </is>
      </c>
      <c r="B6" s="6" t="inlineStr">
        <is>
          <t>Open the Applications tab, click cell A1 (the header row — the CSV brings its own), then File → Import → Upload the applications CSV → 'Replace data at selected cell'. The first applicant must land in row 2; if you ever see two header rows, delete the extra one.</t>
        </is>
      </c>
    </row>
    <row r="7" ht="32" customHeight="1">
      <c r="A7" s="5" t="inlineStr">
        <is>
          <t>3.</t>
        </is>
      </c>
      <c r="B7" s="6" t="inlineStr">
        <is>
          <t>Each reader scores every applicant on the Scoring tab — Reader 1 uses the rows marked Reader 1, Reader 2 likewise. Scores are whole numbers 1–5 (the tab enforces this). Do not discuss scores until both readers are done.</t>
        </is>
      </c>
    </row>
    <row r="8" ht="32" customHeight="1">
      <c r="A8" s="5" t="inlineStr">
        <is>
          <t>4.</t>
        </is>
      </c>
      <c r="B8" s="6" t="inlineStr">
        <is>
          <t>The Results tab fills itself in: it totals both readers per applicant and ranks them. Highest combined score receives the award.</t>
        </is>
      </c>
    </row>
    <row r="9" ht="32" customHeight="1">
      <c r="A9" s="5" t="inlineStr">
        <is>
          <t>5.</t>
        </is>
      </c>
      <c r="B9" s="6" t="inlineStr">
        <is>
          <t>Ties break by the 'What $1,000 changes' score, then a joint re-read (same as published on the site).</t>
        </is>
      </c>
    </row>
    <row r="10" ht="32" customHeight="1">
      <c r="A10" s="5" t="inlineStr">
        <is>
          <t>6.</t>
        </is>
      </c>
      <c r="B10" s="6" t="inlineStr">
        <is>
          <t>A reader with any personal connection to an applicant skips those rows and a replacement reader scores them instead.</t>
        </is>
      </c>
    </row>
    <row r="11" ht="32" customHeight="1">
      <c r="A11" s="5" t="inlineStr">
        <is>
          <t>7.</t>
        </is>
      </c>
      <c r="B11" s="6" t="inlineStr">
        <is>
          <t>When the cycle ends: delete this workbook, the CSVs, and the database (delete-cycle-data.sh) — the privacy policy promises it.</t>
        </is>
      </c>
    </row>
    <row r="13">
      <c r="B13" s="5" t="inlineStr">
        <is>
          <t>The rubric (1–5 points each, per reader)</t>
        </is>
      </c>
    </row>
    <row r="14" ht="30" customHeight="1">
      <c r="B14" s="6" t="inlineStr">
        <is>
          <t>• A path of your own — clarity and genuine interest in what they want to study, build, or become. Not ambition for its own sake.</t>
        </is>
      </c>
    </row>
    <row r="15" ht="30" customHeight="1">
      <c r="B15" s="6" t="inlineStr">
        <is>
          <t>• Steps already taken — anything done to move toward the path: classes, projects, jobs, self-teaching, caregiving, advocacy.</t>
        </is>
      </c>
    </row>
    <row r="16" ht="30" customHeight="1">
      <c r="B16" s="6" t="inlineStr">
        <is>
          <t>• What $1,000 changes — how concretely the award helps. Specific and honest beats dramatic.</t>
        </is>
      </c>
    </row>
    <row r="17" ht="30" customHeight="1">
      <c r="B17" s="6" t="inlineStr">
        <is>
          <t>⚠ Writing style is NOT scored. Spelling, grammar, and polish earn zero points — substance does. Video/audio links score with the identical rubric.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ECEA"/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6" customWidth="1" min="5" max="5"/>
    <col width="22" customWidth="1" min="6" max="6"/>
    <col width="110" customWidth="1" min="7" max="7"/>
  </cols>
  <sheetData>
    <row r="1" ht="28" customHeight="1">
      <c r="A1" s="7" t="inlineStr">
        <is>
          <t>ID</t>
        </is>
      </c>
      <c r="B1" s="7" t="inlineStr">
        <is>
          <t>Submitted</t>
        </is>
      </c>
      <c r="C1" s="7" t="inlineStr">
        <is>
          <t>Name</t>
        </is>
      </c>
      <c r="D1" s="7" t="inlineStr">
        <is>
          <t>Email</t>
        </is>
      </c>
      <c r="E1" s="7" t="inlineStr">
        <is>
          <t>School / program</t>
        </is>
      </c>
      <c r="F1" s="7" t="inlineStr">
        <is>
          <t>Where they are</t>
        </is>
      </c>
      <c r="G1" s="7" t="inlineStr">
        <is>
          <t>Essay</t>
        </is>
      </c>
    </row>
    <row r="2">
      <c r="A2" s="8" t="n"/>
      <c r="B2" s="8" t="n"/>
      <c r="C2" s="8" t="n"/>
      <c r="D2" s="8" t="n"/>
      <c r="E2" s="8" t="n"/>
      <c r="F2" s="8" t="n"/>
      <c r="G2" s="9" t="n"/>
    </row>
    <row r="3">
      <c r="A3" s="8" t="n"/>
      <c r="B3" s="8" t="n"/>
      <c r="C3" s="8" t="n"/>
      <c r="D3" s="8" t="n"/>
      <c r="E3" s="8" t="n"/>
      <c r="F3" s="8" t="n"/>
      <c r="G3" s="9" t="n"/>
    </row>
    <row r="4">
      <c r="A4" s="8" t="n"/>
      <c r="B4" s="8" t="n"/>
      <c r="C4" s="8" t="n"/>
      <c r="D4" s="8" t="n"/>
      <c r="E4" s="8" t="n"/>
      <c r="F4" s="8" t="n"/>
      <c r="G4" s="9" t="n"/>
    </row>
    <row r="5">
      <c r="A5" s="8" t="n"/>
      <c r="B5" s="8" t="n"/>
      <c r="C5" s="8" t="n"/>
      <c r="D5" s="8" t="n"/>
      <c r="E5" s="8" t="n"/>
      <c r="F5" s="8" t="n"/>
      <c r="G5" s="9" t="n"/>
    </row>
    <row r="6">
      <c r="A6" s="8" t="n"/>
      <c r="B6" s="8" t="n"/>
      <c r="C6" s="8" t="n"/>
      <c r="D6" s="8" t="n"/>
      <c r="E6" s="8" t="n"/>
      <c r="F6" s="8" t="n"/>
      <c r="G6" s="9" t="n"/>
    </row>
    <row r="7">
      <c r="A7" s="8" t="n"/>
      <c r="B7" s="8" t="n"/>
      <c r="C7" s="8" t="n"/>
      <c r="D7" s="8" t="n"/>
      <c r="E7" s="8" t="n"/>
      <c r="F7" s="8" t="n"/>
      <c r="G7" s="9" t="n"/>
    </row>
    <row r="8">
      <c r="A8" s="8" t="n"/>
      <c r="B8" s="8" t="n"/>
      <c r="C8" s="8" t="n"/>
      <c r="D8" s="8" t="n"/>
      <c r="E8" s="8" t="n"/>
      <c r="F8" s="8" t="n"/>
      <c r="G8" s="9" t="n"/>
    </row>
    <row r="9">
      <c r="A9" s="8" t="n"/>
      <c r="B9" s="8" t="n"/>
      <c r="C9" s="8" t="n"/>
      <c r="D9" s="8" t="n"/>
      <c r="E9" s="8" t="n"/>
      <c r="F9" s="8" t="n"/>
      <c r="G9" s="9" t="n"/>
    </row>
    <row r="10">
      <c r="A10" s="8" t="n"/>
      <c r="B10" s="8" t="n"/>
      <c r="C10" s="8" t="n"/>
      <c r="D10" s="8" t="n"/>
      <c r="E10" s="8" t="n"/>
      <c r="F10" s="8" t="n"/>
      <c r="G10" s="9" t="n"/>
    </row>
    <row r="11">
      <c r="A11" s="8" t="n"/>
      <c r="B11" s="8" t="n"/>
      <c r="C11" s="8" t="n"/>
      <c r="D11" s="8" t="n"/>
      <c r="E11" s="8" t="n"/>
      <c r="F11" s="8" t="n"/>
      <c r="G11" s="9" t="n"/>
    </row>
    <row r="12">
      <c r="A12" s="8" t="n"/>
      <c r="B12" s="8" t="n"/>
      <c r="C12" s="8" t="n"/>
      <c r="D12" s="8" t="n"/>
      <c r="E12" s="8" t="n"/>
      <c r="F12" s="8" t="n"/>
      <c r="G12" s="9" t="n"/>
    </row>
    <row r="13">
      <c r="A13" s="8" t="n"/>
      <c r="B13" s="8" t="n"/>
      <c r="C13" s="8" t="n"/>
      <c r="D13" s="8" t="n"/>
      <c r="E13" s="8" t="n"/>
      <c r="F13" s="8" t="n"/>
      <c r="G13" s="9" t="n"/>
    </row>
    <row r="14">
      <c r="A14" s="8" t="n"/>
      <c r="B14" s="8" t="n"/>
      <c r="C14" s="8" t="n"/>
      <c r="D14" s="8" t="n"/>
      <c r="E14" s="8" t="n"/>
      <c r="F14" s="8" t="n"/>
      <c r="G14" s="9" t="n"/>
    </row>
    <row r="15">
      <c r="A15" s="8" t="n"/>
      <c r="B15" s="8" t="n"/>
      <c r="C15" s="8" t="n"/>
      <c r="D15" s="8" t="n"/>
      <c r="E15" s="8" t="n"/>
      <c r="F15" s="8" t="n"/>
      <c r="G15" s="9" t="n"/>
    </row>
    <row r="16">
      <c r="A16" s="8" t="n"/>
      <c r="B16" s="8" t="n"/>
      <c r="C16" s="8" t="n"/>
      <c r="D16" s="8" t="n"/>
      <c r="E16" s="8" t="n"/>
      <c r="F16" s="8" t="n"/>
      <c r="G16" s="9" t="n"/>
    </row>
    <row r="17">
      <c r="A17" s="8" t="n"/>
      <c r="B17" s="8" t="n"/>
      <c r="C17" s="8" t="n"/>
      <c r="D17" s="8" t="n"/>
      <c r="E17" s="8" t="n"/>
      <c r="F17" s="8" t="n"/>
      <c r="G17" s="9" t="n"/>
    </row>
    <row r="18">
      <c r="A18" s="8" t="n"/>
      <c r="B18" s="8" t="n"/>
      <c r="C18" s="8" t="n"/>
      <c r="D18" s="8" t="n"/>
      <c r="E18" s="8" t="n"/>
      <c r="F18" s="8" t="n"/>
      <c r="G18" s="9" t="n"/>
    </row>
    <row r="19">
      <c r="A19" s="8" t="n"/>
      <c r="B19" s="8" t="n"/>
      <c r="C19" s="8" t="n"/>
      <c r="D19" s="8" t="n"/>
      <c r="E19" s="8" t="n"/>
      <c r="F19" s="8" t="n"/>
      <c r="G19" s="9" t="n"/>
    </row>
    <row r="20">
      <c r="A20" s="8" t="n"/>
      <c r="B20" s="8" t="n"/>
      <c r="C20" s="8" t="n"/>
      <c r="D20" s="8" t="n"/>
      <c r="E20" s="8" t="n"/>
      <c r="F20" s="8" t="n"/>
      <c r="G20" s="9" t="n"/>
    </row>
    <row r="21">
      <c r="A21" s="8" t="n"/>
      <c r="B21" s="8" t="n"/>
      <c r="C21" s="8" t="n"/>
      <c r="D21" s="8" t="n"/>
      <c r="E21" s="8" t="n"/>
      <c r="F21" s="8" t="n"/>
      <c r="G21" s="9" t="n"/>
    </row>
    <row r="22">
      <c r="A22" s="8" t="n"/>
      <c r="B22" s="8" t="n"/>
      <c r="C22" s="8" t="n"/>
      <c r="D22" s="8" t="n"/>
      <c r="E22" s="8" t="n"/>
      <c r="F22" s="8" t="n"/>
      <c r="G22" s="9" t="n"/>
    </row>
    <row r="23">
      <c r="A23" s="8" t="n"/>
      <c r="B23" s="8" t="n"/>
      <c r="C23" s="8" t="n"/>
      <c r="D23" s="8" t="n"/>
      <c r="E23" s="8" t="n"/>
      <c r="F23" s="8" t="n"/>
      <c r="G23" s="9" t="n"/>
    </row>
    <row r="24">
      <c r="A24" s="8" t="n"/>
      <c r="B24" s="8" t="n"/>
      <c r="C24" s="8" t="n"/>
      <c r="D24" s="8" t="n"/>
      <c r="E24" s="8" t="n"/>
      <c r="F24" s="8" t="n"/>
      <c r="G24" s="9" t="n"/>
    </row>
    <row r="25">
      <c r="A25" s="8" t="n"/>
      <c r="B25" s="8" t="n"/>
      <c r="C25" s="8" t="n"/>
      <c r="D25" s="8" t="n"/>
      <c r="E25" s="8" t="n"/>
      <c r="F25" s="8" t="n"/>
      <c r="G25" s="9" t="n"/>
    </row>
    <row r="26">
      <c r="A26" s="8" t="n"/>
      <c r="B26" s="8" t="n"/>
      <c r="C26" s="8" t="n"/>
      <c r="D26" s="8" t="n"/>
      <c r="E26" s="8" t="n"/>
      <c r="F26" s="8" t="n"/>
      <c r="G26" s="9" t="n"/>
    </row>
    <row r="27">
      <c r="A27" s="8" t="n"/>
      <c r="B27" s="8" t="n"/>
      <c r="C27" s="8" t="n"/>
      <c r="D27" s="8" t="n"/>
      <c r="E27" s="8" t="n"/>
      <c r="F27" s="8" t="n"/>
      <c r="G27" s="9" t="n"/>
    </row>
    <row r="28">
      <c r="A28" s="8" t="n"/>
      <c r="B28" s="8" t="n"/>
      <c r="C28" s="8" t="n"/>
      <c r="D28" s="8" t="n"/>
      <c r="E28" s="8" t="n"/>
      <c r="F28" s="8" t="n"/>
      <c r="G28" s="9" t="n"/>
    </row>
    <row r="29">
      <c r="A29" s="8" t="n"/>
      <c r="B29" s="8" t="n"/>
      <c r="C29" s="8" t="n"/>
      <c r="D29" s="8" t="n"/>
      <c r="E29" s="8" t="n"/>
      <c r="F29" s="8" t="n"/>
      <c r="G29" s="9" t="n"/>
    </row>
    <row r="30">
      <c r="A30" s="8" t="n"/>
      <c r="B30" s="8" t="n"/>
      <c r="C30" s="8" t="n"/>
      <c r="D30" s="8" t="n"/>
      <c r="E30" s="8" t="n"/>
      <c r="F30" s="8" t="n"/>
      <c r="G30" s="9" t="n"/>
    </row>
    <row r="31">
      <c r="A31" s="8" t="n"/>
      <c r="B31" s="8" t="n"/>
      <c r="C31" s="8" t="n"/>
      <c r="D31" s="8" t="n"/>
      <c r="E31" s="8" t="n"/>
      <c r="F31" s="8" t="n"/>
      <c r="G31" s="9" t="n"/>
    </row>
    <row r="32">
      <c r="A32" s="8" t="n"/>
      <c r="B32" s="8" t="n"/>
      <c r="C32" s="8" t="n"/>
      <c r="D32" s="8" t="n"/>
      <c r="E32" s="8" t="n"/>
      <c r="F32" s="8" t="n"/>
      <c r="G32" s="9" t="n"/>
    </row>
    <row r="33">
      <c r="A33" s="8" t="n"/>
      <c r="B33" s="8" t="n"/>
      <c r="C33" s="8" t="n"/>
      <c r="D33" s="8" t="n"/>
      <c r="E33" s="8" t="n"/>
      <c r="F33" s="8" t="n"/>
      <c r="G33" s="9" t="n"/>
    </row>
    <row r="34">
      <c r="A34" s="8" t="n"/>
      <c r="B34" s="8" t="n"/>
      <c r="C34" s="8" t="n"/>
      <c r="D34" s="8" t="n"/>
      <c r="E34" s="8" t="n"/>
      <c r="F34" s="8" t="n"/>
      <c r="G34" s="9" t="n"/>
    </row>
    <row r="35">
      <c r="A35" s="8" t="n"/>
      <c r="B35" s="8" t="n"/>
      <c r="C35" s="8" t="n"/>
      <c r="D35" s="8" t="n"/>
      <c r="E35" s="8" t="n"/>
      <c r="F35" s="8" t="n"/>
      <c r="G35" s="9" t="n"/>
    </row>
    <row r="36">
      <c r="A36" s="8" t="n"/>
      <c r="B36" s="8" t="n"/>
      <c r="C36" s="8" t="n"/>
      <c r="D36" s="8" t="n"/>
      <c r="E36" s="8" t="n"/>
      <c r="F36" s="8" t="n"/>
      <c r="G36" s="9" t="n"/>
    </row>
    <row r="37">
      <c r="A37" s="8" t="n"/>
      <c r="B37" s="8" t="n"/>
      <c r="C37" s="8" t="n"/>
      <c r="D37" s="8" t="n"/>
      <c r="E37" s="8" t="n"/>
      <c r="F37" s="8" t="n"/>
      <c r="G37" s="9" t="n"/>
    </row>
    <row r="38">
      <c r="A38" s="8" t="n"/>
      <c r="B38" s="8" t="n"/>
      <c r="C38" s="8" t="n"/>
      <c r="D38" s="8" t="n"/>
      <c r="E38" s="8" t="n"/>
      <c r="F38" s="8" t="n"/>
      <c r="G38" s="9" t="n"/>
    </row>
    <row r="39">
      <c r="A39" s="8" t="n"/>
      <c r="B39" s="8" t="n"/>
      <c r="C39" s="8" t="n"/>
      <c r="D39" s="8" t="n"/>
      <c r="E39" s="8" t="n"/>
      <c r="F39" s="8" t="n"/>
      <c r="G39" s="9" t="n"/>
    </row>
    <row r="40">
      <c r="A40" s="8" t="n"/>
      <c r="B40" s="8" t="n"/>
      <c r="C40" s="8" t="n"/>
      <c r="D40" s="8" t="n"/>
      <c r="E40" s="8" t="n"/>
      <c r="F40" s="8" t="n"/>
      <c r="G40" s="9" t="n"/>
    </row>
    <row r="41">
      <c r="A41" s="8" t="n"/>
      <c r="B41" s="8" t="n"/>
      <c r="C41" s="8" t="n"/>
      <c r="D41" s="8" t="n"/>
      <c r="E41" s="8" t="n"/>
      <c r="F41" s="8" t="n"/>
      <c r="G41" s="9" t="n"/>
    </row>
    <row r="42">
      <c r="A42" s="8" t="n"/>
      <c r="B42" s="8" t="n"/>
      <c r="C42" s="8" t="n"/>
      <c r="D42" s="8" t="n"/>
      <c r="E42" s="8" t="n"/>
      <c r="F42" s="8" t="n"/>
      <c r="G42" s="9" t="n"/>
    </row>
    <row r="43">
      <c r="A43" s="8" t="n"/>
      <c r="B43" s="8" t="n"/>
      <c r="C43" s="8" t="n"/>
      <c r="D43" s="8" t="n"/>
      <c r="E43" s="8" t="n"/>
      <c r="F43" s="8" t="n"/>
      <c r="G43" s="9" t="n"/>
    </row>
    <row r="44">
      <c r="A44" s="8" t="n"/>
      <c r="B44" s="8" t="n"/>
      <c r="C44" s="8" t="n"/>
      <c r="D44" s="8" t="n"/>
      <c r="E44" s="8" t="n"/>
      <c r="F44" s="8" t="n"/>
      <c r="G44" s="9" t="n"/>
    </row>
    <row r="45">
      <c r="A45" s="8" t="n"/>
      <c r="B45" s="8" t="n"/>
      <c r="C45" s="8" t="n"/>
      <c r="D45" s="8" t="n"/>
      <c r="E45" s="8" t="n"/>
      <c r="F45" s="8" t="n"/>
      <c r="G45" s="9" t="n"/>
    </row>
    <row r="46">
      <c r="A46" s="8" t="n"/>
      <c r="B46" s="8" t="n"/>
      <c r="C46" s="8" t="n"/>
      <c r="D46" s="8" t="n"/>
      <c r="E46" s="8" t="n"/>
      <c r="F46" s="8" t="n"/>
      <c r="G46" s="9" t="n"/>
    </row>
    <row r="47">
      <c r="A47" s="8" t="n"/>
      <c r="B47" s="8" t="n"/>
      <c r="C47" s="8" t="n"/>
      <c r="D47" s="8" t="n"/>
      <c r="E47" s="8" t="n"/>
      <c r="F47" s="8" t="n"/>
      <c r="G47" s="9" t="n"/>
    </row>
    <row r="48">
      <c r="A48" s="8" t="n"/>
      <c r="B48" s="8" t="n"/>
      <c r="C48" s="8" t="n"/>
      <c r="D48" s="8" t="n"/>
      <c r="E48" s="8" t="n"/>
      <c r="F48" s="8" t="n"/>
      <c r="G48" s="9" t="n"/>
    </row>
    <row r="49">
      <c r="A49" s="8" t="n"/>
      <c r="B49" s="8" t="n"/>
      <c r="C49" s="8" t="n"/>
      <c r="D49" s="8" t="n"/>
      <c r="E49" s="8" t="n"/>
      <c r="F49" s="8" t="n"/>
      <c r="G49" s="9" t="n"/>
    </row>
    <row r="50">
      <c r="A50" s="8" t="n"/>
      <c r="B50" s="8" t="n"/>
      <c r="C50" s="8" t="n"/>
      <c r="D50" s="8" t="n"/>
      <c r="E50" s="8" t="n"/>
      <c r="F50" s="8" t="n"/>
      <c r="G50" s="9" t="n"/>
    </row>
    <row r="51">
      <c r="A51" s="8" t="n"/>
      <c r="B51" s="8" t="n"/>
      <c r="C51" s="8" t="n"/>
      <c r="D51" s="8" t="n"/>
      <c r="E51" s="8" t="n"/>
      <c r="F51" s="8" t="n"/>
      <c r="G51" s="9" t="n"/>
    </row>
    <row r="52">
      <c r="A52" s="8" t="n"/>
      <c r="B52" s="8" t="n"/>
      <c r="C52" s="8" t="n"/>
      <c r="D52" s="8" t="n"/>
      <c r="E52" s="8" t="n"/>
      <c r="F52" s="8" t="n"/>
      <c r="G52" s="9" t="n"/>
    </row>
    <row r="53">
      <c r="A53" s="8" t="n"/>
      <c r="B53" s="8" t="n"/>
      <c r="C53" s="8" t="n"/>
      <c r="D53" s="8" t="n"/>
      <c r="E53" s="8" t="n"/>
      <c r="F53" s="8" t="n"/>
      <c r="G53" s="9" t="n"/>
    </row>
    <row r="54">
      <c r="A54" s="8" t="n"/>
      <c r="B54" s="8" t="n"/>
      <c r="C54" s="8" t="n"/>
      <c r="D54" s="8" t="n"/>
      <c r="E54" s="8" t="n"/>
      <c r="F54" s="8" t="n"/>
      <c r="G54" s="9" t="n"/>
    </row>
    <row r="55">
      <c r="A55" s="8" t="n"/>
      <c r="B55" s="8" t="n"/>
      <c r="C55" s="8" t="n"/>
      <c r="D55" s="8" t="n"/>
      <c r="E55" s="8" t="n"/>
      <c r="F55" s="8" t="n"/>
      <c r="G55" s="9" t="n"/>
    </row>
    <row r="56">
      <c r="A56" s="8" t="n"/>
      <c r="B56" s="8" t="n"/>
      <c r="C56" s="8" t="n"/>
      <c r="D56" s="8" t="n"/>
      <c r="E56" s="8" t="n"/>
      <c r="F56" s="8" t="n"/>
      <c r="G56" s="9" t="n"/>
    </row>
    <row r="57">
      <c r="A57" s="8" t="n"/>
      <c r="B57" s="8" t="n"/>
      <c r="C57" s="8" t="n"/>
      <c r="D57" s="8" t="n"/>
      <c r="E57" s="8" t="n"/>
      <c r="F57" s="8" t="n"/>
      <c r="G57" s="9" t="n"/>
    </row>
    <row r="58">
      <c r="A58" s="8" t="n"/>
      <c r="B58" s="8" t="n"/>
      <c r="C58" s="8" t="n"/>
      <c r="D58" s="8" t="n"/>
      <c r="E58" s="8" t="n"/>
      <c r="F58" s="8" t="n"/>
      <c r="G58" s="9" t="n"/>
    </row>
    <row r="59">
      <c r="A59" s="8" t="n"/>
      <c r="B59" s="8" t="n"/>
      <c r="C59" s="8" t="n"/>
      <c r="D59" s="8" t="n"/>
      <c r="E59" s="8" t="n"/>
      <c r="F59" s="8" t="n"/>
      <c r="G59" s="9" t="n"/>
    </row>
    <row r="60">
      <c r="A60" s="8" t="n"/>
      <c r="B60" s="8" t="n"/>
      <c r="C60" s="8" t="n"/>
      <c r="D60" s="8" t="n"/>
      <c r="E60" s="8" t="n"/>
      <c r="F60" s="8" t="n"/>
      <c r="G60" s="9" t="n"/>
    </row>
    <row r="61">
      <c r="A61" s="8" t="n"/>
      <c r="B61" s="8" t="n"/>
      <c r="C61" s="8" t="n"/>
      <c r="D61" s="8" t="n"/>
      <c r="E61" s="8" t="n"/>
      <c r="F61" s="8" t="n"/>
      <c r="G61" s="9" t="n"/>
    </row>
    <row r="62">
      <c r="A62" s="8" t="n"/>
      <c r="B62" s="8" t="n"/>
      <c r="C62" s="8" t="n"/>
      <c r="D62" s="8" t="n"/>
      <c r="E62" s="8" t="n"/>
      <c r="F62" s="8" t="n"/>
      <c r="G62" s="9" t="n"/>
    </row>
    <row r="63">
      <c r="A63" s="8" t="n"/>
      <c r="B63" s="8" t="n"/>
      <c r="C63" s="8" t="n"/>
      <c r="D63" s="8" t="n"/>
      <c r="E63" s="8" t="n"/>
      <c r="F63" s="8" t="n"/>
      <c r="G63" s="9" t="n"/>
    </row>
    <row r="64">
      <c r="A64" s="8" t="n"/>
      <c r="B64" s="8" t="n"/>
      <c r="C64" s="8" t="n"/>
      <c r="D64" s="8" t="n"/>
      <c r="E64" s="8" t="n"/>
      <c r="F64" s="8" t="n"/>
      <c r="G64" s="9" t="n"/>
    </row>
    <row r="65">
      <c r="A65" s="8" t="n"/>
      <c r="B65" s="8" t="n"/>
      <c r="C65" s="8" t="n"/>
      <c r="D65" s="8" t="n"/>
      <c r="E65" s="8" t="n"/>
      <c r="F65" s="8" t="n"/>
      <c r="G65" s="9" t="n"/>
    </row>
    <row r="66">
      <c r="A66" s="8" t="n"/>
      <c r="B66" s="8" t="n"/>
      <c r="C66" s="8" t="n"/>
      <c r="D66" s="8" t="n"/>
      <c r="E66" s="8" t="n"/>
      <c r="F66" s="8" t="n"/>
      <c r="G66" s="9" t="n"/>
    </row>
    <row r="67">
      <c r="A67" s="8" t="n"/>
      <c r="B67" s="8" t="n"/>
      <c r="C67" s="8" t="n"/>
      <c r="D67" s="8" t="n"/>
      <c r="E67" s="8" t="n"/>
      <c r="F67" s="8" t="n"/>
      <c r="G67" s="9" t="n"/>
    </row>
    <row r="68">
      <c r="A68" s="8" t="n"/>
      <c r="B68" s="8" t="n"/>
      <c r="C68" s="8" t="n"/>
      <c r="D68" s="8" t="n"/>
      <c r="E68" s="8" t="n"/>
      <c r="F68" s="8" t="n"/>
      <c r="G68" s="9" t="n"/>
    </row>
    <row r="69">
      <c r="A69" s="8" t="n"/>
      <c r="B69" s="8" t="n"/>
      <c r="C69" s="8" t="n"/>
      <c r="D69" s="8" t="n"/>
      <c r="E69" s="8" t="n"/>
      <c r="F69" s="8" t="n"/>
      <c r="G69" s="9" t="n"/>
    </row>
    <row r="70">
      <c r="A70" s="8" t="n"/>
      <c r="B70" s="8" t="n"/>
      <c r="C70" s="8" t="n"/>
      <c r="D70" s="8" t="n"/>
      <c r="E70" s="8" t="n"/>
      <c r="F70" s="8" t="n"/>
      <c r="G70" s="9" t="n"/>
    </row>
    <row r="71">
      <c r="A71" s="8" t="n"/>
      <c r="B71" s="8" t="n"/>
      <c r="C71" s="8" t="n"/>
      <c r="D71" s="8" t="n"/>
      <c r="E71" s="8" t="n"/>
      <c r="F71" s="8" t="n"/>
      <c r="G71" s="9" t="n"/>
    </row>
    <row r="72">
      <c r="A72" s="8" t="n"/>
      <c r="B72" s="8" t="n"/>
      <c r="C72" s="8" t="n"/>
      <c r="D72" s="8" t="n"/>
      <c r="E72" s="8" t="n"/>
      <c r="F72" s="8" t="n"/>
      <c r="G72" s="9" t="n"/>
    </row>
    <row r="73">
      <c r="A73" s="8" t="n"/>
      <c r="B73" s="8" t="n"/>
      <c r="C73" s="8" t="n"/>
      <c r="D73" s="8" t="n"/>
      <c r="E73" s="8" t="n"/>
      <c r="F73" s="8" t="n"/>
      <c r="G73" s="9" t="n"/>
    </row>
    <row r="74">
      <c r="A74" s="8" t="n"/>
      <c r="B74" s="8" t="n"/>
      <c r="C74" s="8" t="n"/>
      <c r="D74" s="8" t="n"/>
      <c r="E74" s="8" t="n"/>
      <c r="F74" s="8" t="n"/>
      <c r="G74" s="9" t="n"/>
    </row>
    <row r="75">
      <c r="A75" s="8" t="n"/>
      <c r="B75" s="8" t="n"/>
      <c r="C75" s="8" t="n"/>
      <c r="D75" s="8" t="n"/>
      <c r="E75" s="8" t="n"/>
      <c r="F75" s="8" t="n"/>
      <c r="G75" s="9" t="n"/>
    </row>
    <row r="76">
      <c r="A76" s="8" t="n"/>
      <c r="B76" s="8" t="n"/>
      <c r="C76" s="8" t="n"/>
      <c r="D76" s="8" t="n"/>
      <c r="E76" s="8" t="n"/>
      <c r="F76" s="8" t="n"/>
      <c r="G76" s="9" t="n"/>
    </row>
    <row r="77">
      <c r="A77" s="8" t="n"/>
      <c r="B77" s="8" t="n"/>
      <c r="C77" s="8" t="n"/>
      <c r="D77" s="8" t="n"/>
      <c r="E77" s="8" t="n"/>
      <c r="F77" s="8" t="n"/>
      <c r="G77" s="9" t="n"/>
    </row>
    <row r="78">
      <c r="A78" s="8" t="n"/>
      <c r="B78" s="8" t="n"/>
      <c r="C78" s="8" t="n"/>
      <c r="D78" s="8" t="n"/>
      <c r="E78" s="8" t="n"/>
      <c r="F78" s="8" t="n"/>
      <c r="G78" s="9" t="n"/>
    </row>
    <row r="79">
      <c r="A79" s="8" t="n"/>
      <c r="B79" s="8" t="n"/>
      <c r="C79" s="8" t="n"/>
      <c r="D79" s="8" t="n"/>
      <c r="E79" s="8" t="n"/>
      <c r="F79" s="8" t="n"/>
      <c r="G79" s="9" t="n"/>
    </row>
    <row r="80">
      <c r="A80" s="8" t="n"/>
      <c r="B80" s="8" t="n"/>
      <c r="C80" s="8" t="n"/>
      <c r="D80" s="8" t="n"/>
      <c r="E80" s="8" t="n"/>
      <c r="F80" s="8" t="n"/>
      <c r="G80" s="9" t="n"/>
    </row>
    <row r="81">
      <c r="A81" s="8" t="n"/>
      <c r="B81" s="8" t="n"/>
      <c r="C81" s="8" t="n"/>
      <c r="D81" s="8" t="n"/>
      <c r="E81" s="8" t="n"/>
      <c r="F81" s="8" t="n"/>
      <c r="G81" s="9" t="n"/>
    </row>
    <row r="82">
      <c r="A82" s="8" t="n"/>
      <c r="B82" s="8" t="n"/>
      <c r="C82" s="8" t="n"/>
      <c r="D82" s="8" t="n"/>
      <c r="E82" s="8" t="n"/>
      <c r="F82" s="8" t="n"/>
      <c r="G82" s="9" t="n"/>
    </row>
    <row r="83">
      <c r="A83" s="8" t="n"/>
      <c r="B83" s="8" t="n"/>
      <c r="C83" s="8" t="n"/>
      <c r="D83" s="8" t="n"/>
      <c r="E83" s="8" t="n"/>
      <c r="F83" s="8" t="n"/>
      <c r="G83" s="9" t="n"/>
    </row>
    <row r="84">
      <c r="A84" s="8" t="n"/>
      <c r="B84" s="8" t="n"/>
      <c r="C84" s="8" t="n"/>
      <c r="D84" s="8" t="n"/>
      <c r="E84" s="8" t="n"/>
      <c r="F84" s="8" t="n"/>
      <c r="G84" s="9" t="n"/>
    </row>
    <row r="85">
      <c r="A85" s="8" t="n"/>
      <c r="B85" s="8" t="n"/>
      <c r="C85" s="8" t="n"/>
      <c r="D85" s="8" t="n"/>
      <c r="E85" s="8" t="n"/>
      <c r="F85" s="8" t="n"/>
      <c r="G85" s="9" t="n"/>
    </row>
    <row r="86">
      <c r="A86" s="8" t="n"/>
      <c r="B86" s="8" t="n"/>
      <c r="C86" s="8" t="n"/>
      <c r="D86" s="8" t="n"/>
      <c r="E86" s="8" t="n"/>
      <c r="F86" s="8" t="n"/>
      <c r="G86" s="9" t="n"/>
    </row>
    <row r="87">
      <c r="A87" s="8" t="n"/>
      <c r="B87" s="8" t="n"/>
      <c r="C87" s="8" t="n"/>
      <c r="D87" s="8" t="n"/>
      <c r="E87" s="8" t="n"/>
      <c r="F87" s="8" t="n"/>
      <c r="G87" s="9" t="n"/>
    </row>
    <row r="88">
      <c r="A88" s="8" t="n"/>
      <c r="B88" s="8" t="n"/>
      <c r="C88" s="8" t="n"/>
      <c r="D88" s="8" t="n"/>
      <c r="E88" s="8" t="n"/>
      <c r="F88" s="8" t="n"/>
      <c r="G88" s="9" t="n"/>
    </row>
    <row r="89">
      <c r="A89" s="8" t="n"/>
      <c r="B89" s="8" t="n"/>
      <c r="C89" s="8" t="n"/>
      <c r="D89" s="8" t="n"/>
      <c r="E89" s="8" t="n"/>
      <c r="F89" s="8" t="n"/>
      <c r="G89" s="9" t="n"/>
    </row>
    <row r="90">
      <c r="A90" s="8" t="n"/>
      <c r="B90" s="8" t="n"/>
      <c r="C90" s="8" t="n"/>
      <c r="D90" s="8" t="n"/>
      <c r="E90" s="8" t="n"/>
      <c r="F90" s="8" t="n"/>
      <c r="G90" s="9" t="n"/>
    </row>
    <row r="91">
      <c r="A91" s="8" t="n"/>
      <c r="B91" s="8" t="n"/>
      <c r="C91" s="8" t="n"/>
      <c r="D91" s="8" t="n"/>
      <c r="E91" s="8" t="n"/>
      <c r="F91" s="8" t="n"/>
      <c r="G91" s="9" t="n"/>
    </row>
    <row r="92">
      <c r="A92" s="8" t="n"/>
      <c r="B92" s="8" t="n"/>
      <c r="C92" s="8" t="n"/>
      <c r="D92" s="8" t="n"/>
      <c r="E92" s="8" t="n"/>
      <c r="F92" s="8" t="n"/>
      <c r="G92" s="9" t="n"/>
    </row>
    <row r="93">
      <c r="A93" s="8" t="n"/>
      <c r="B93" s="8" t="n"/>
      <c r="C93" s="8" t="n"/>
      <c r="D93" s="8" t="n"/>
      <c r="E93" s="8" t="n"/>
      <c r="F93" s="8" t="n"/>
      <c r="G93" s="9" t="n"/>
    </row>
    <row r="94">
      <c r="A94" s="8" t="n"/>
      <c r="B94" s="8" t="n"/>
      <c r="C94" s="8" t="n"/>
      <c r="D94" s="8" t="n"/>
      <c r="E94" s="8" t="n"/>
      <c r="F94" s="8" t="n"/>
      <c r="G94" s="9" t="n"/>
    </row>
    <row r="95">
      <c r="A95" s="8" t="n"/>
      <c r="B95" s="8" t="n"/>
      <c r="C95" s="8" t="n"/>
      <c r="D95" s="8" t="n"/>
      <c r="E95" s="8" t="n"/>
      <c r="F95" s="8" t="n"/>
      <c r="G95" s="9" t="n"/>
    </row>
    <row r="96">
      <c r="A96" s="8" t="n"/>
      <c r="B96" s="8" t="n"/>
      <c r="C96" s="8" t="n"/>
      <c r="D96" s="8" t="n"/>
      <c r="E96" s="8" t="n"/>
      <c r="F96" s="8" t="n"/>
      <c r="G96" s="9" t="n"/>
    </row>
    <row r="97">
      <c r="A97" s="8" t="n"/>
      <c r="B97" s="8" t="n"/>
      <c r="C97" s="8" t="n"/>
      <c r="D97" s="8" t="n"/>
      <c r="E97" s="8" t="n"/>
      <c r="F97" s="8" t="n"/>
      <c r="G97" s="9" t="n"/>
    </row>
    <row r="98">
      <c r="A98" s="8" t="n"/>
      <c r="B98" s="8" t="n"/>
      <c r="C98" s="8" t="n"/>
      <c r="D98" s="8" t="n"/>
      <c r="E98" s="8" t="n"/>
      <c r="F98" s="8" t="n"/>
      <c r="G98" s="9" t="n"/>
    </row>
    <row r="99">
      <c r="A99" s="8" t="n"/>
      <c r="B99" s="8" t="n"/>
      <c r="C99" s="8" t="n"/>
      <c r="D99" s="8" t="n"/>
      <c r="E99" s="8" t="n"/>
      <c r="F99" s="8" t="n"/>
      <c r="G99" s="9" t="n"/>
    </row>
    <row r="100">
      <c r="A100" s="8" t="n"/>
      <c r="B100" s="8" t="n"/>
      <c r="C100" s="8" t="n"/>
      <c r="D100" s="8" t="n"/>
      <c r="E100" s="8" t="n"/>
      <c r="F100" s="8" t="n"/>
      <c r="G100" s="9" t="n"/>
    </row>
    <row r="101">
      <c r="A101" s="8" t="n"/>
      <c r="B101" s="8" t="n"/>
      <c r="C101" s="8" t="n"/>
      <c r="D101" s="8" t="n"/>
      <c r="E101" s="8" t="n"/>
      <c r="F101" s="8" t="n"/>
      <c r="G101" s="9" t="n"/>
    </row>
    <row r="102">
      <c r="A102" s="8" t="n"/>
      <c r="B102" s="8" t="n"/>
      <c r="C102" s="8" t="n"/>
      <c r="D102" s="8" t="n"/>
      <c r="E102" s="8" t="n"/>
      <c r="F102" s="8" t="n"/>
      <c r="G102" s="9" t="n"/>
    </row>
    <row r="103">
      <c r="A103" s="8" t="n"/>
      <c r="B103" s="8" t="n"/>
      <c r="C103" s="8" t="n"/>
      <c r="D103" s="8" t="n"/>
      <c r="E103" s="8" t="n"/>
      <c r="F103" s="8" t="n"/>
      <c r="G103" s="9" t="n"/>
    </row>
    <row r="104">
      <c r="A104" s="8" t="n"/>
      <c r="B104" s="8" t="n"/>
      <c r="C104" s="8" t="n"/>
      <c r="D104" s="8" t="n"/>
      <c r="E104" s="8" t="n"/>
      <c r="F104" s="8" t="n"/>
      <c r="G104" s="9" t="n"/>
    </row>
    <row r="105">
      <c r="A105" s="8" t="n"/>
      <c r="B105" s="8" t="n"/>
      <c r="C105" s="8" t="n"/>
      <c r="D105" s="8" t="n"/>
      <c r="E105" s="8" t="n"/>
      <c r="F105" s="8" t="n"/>
      <c r="G105" s="9" t="n"/>
    </row>
    <row r="106">
      <c r="A106" s="8" t="n"/>
      <c r="B106" s="8" t="n"/>
      <c r="C106" s="8" t="n"/>
      <c r="D106" s="8" t="n"/>
      <c r="E106" s="8" t="n"/>
      <c r="F106" s="8" t="n"/>
      <c r="G106" s="9" t="n"/>
    </row>
    <row r="107">
      <c r="A107" s="8" t="n"/>
      <c r="B107" s="8" t="n"/>
      <c r="C107" s="8" t="n"/>
      <c r="D107" s="8" t="n"/>
      <c r="E107" s="8" t="n"/>
      <c r="F107" s="8" t="n"/>
      <c r="G107" s="9" t="n"/>
    </row>
    <row r="108">
      <c r="A108" s="8" t="n"/>
      <c r="B108" s="8" t="n"/>
      <c r="C108" s="8" t="n"/>
      <c r="D108" s="8" t="n"/>
      <c r="E108" s="8" t="n"/>
      <c r="F108" s="8" t="n"/>
      <c r="G108" s="9" t="n"/>
    </row>
    <row r="109">
      <c r="A109" s="8" t="n"/>
      <c r="B109" s="8" t="n"/>
      <c r="C109" s="8" t="n"/>
      <c r="D109" s="8" t="n"/>
      <c r="E109" s="8" t="n"/>
      <c r="F109" s="8" t="n"/>
      <c r="G109" s="9" t="n"/>
    </row>
    <row r="110">
      <c r="A110" s="8" t="n"/>
      <c r="B110" s="8" t="n"/>
      <c r="C110" s="8" t="n"/>
      <c r="D110" s="8" t="n"/>
      <c r="E110" s="8" t="n"/>
      <c r="F110" s="8" t="n"/>
      <c r="G110" s="9" t="n"/>
    </row>
    <row r="111">
      <c r="A111" s="8" t="n"/>
      <c r="B111" s="8" t="n"/>
      <c r="C111" s="8" t="n"/>
      <c r="D111" s="8" t="n"/>
      <c r="E111" s="8" t="n"/>
      <c r="F111" s="8" t="n"/>
      <c r="G111" s="9" t="n"/>
    </row>
    <row r="112">
      <c r="A112" s="8" t="n"/>
      <c r="B112" s="8" t="n"/>
      <c r="C112" s="8" t="n"/>
      <c r="D112" s="8" t="n"/>
      <c r="E112" s="8" t="n"/>
      <c r="F112" s="8" t="n"/>
      <c r="G112" s="9" t="n"/>
    </row>
    <row r="113">
      <c r="A113" s="8" t="n"/>
      <c r="B113" s="8" t="n"/>
      <c r="C113" s="8" t="n"/>
      <c r="D113" s="8" t="n"/>
      <c r="E113" s="8" t="n"/>
      <c r="F113" s="8" t="n"/>
      <c r="G113" s="9" t="n"/>
    </row>
    <row r="114">
      <c r="A114" s="8" t="n"/>
      <c r="B114" s="8" t="n"/>
      <c r="C114" s="8" t="n"/>
      <c r="D114" s="8" t="n"/>
      <c r="E114" s="8" t="n"/>
      <c r="F114" s="8" t="n"/>
      <c r="G114" s="9" t="n"/>
    </row>
    <row r="115">
      <c r="A115" s="8" t="n"/>
      <c r="B115" s="8" t="n"/>
      <c r="C115" s="8" t="n"/>
      <c r="D115" s="8" t="n"/>
      <c r="E115" s="8" t="n"/>
      <c r="F115" s="8" t="n"/>
      <c r="G115" s="9" t="n"/>
    </row>
    <row r="116">
      <c r="A116" s="8" t="n"/>
      <c r="B116" s="8" t="n"/>
      <c r="C116" s="8" t="n"/>
      <c r="D116" s="8" t="n"/>
      <c r="E116" s="8" t="n"/>
      <c r="F116" s="8" t="n"/>
      <c r="G116" s="9" t="n"/>
    </row>
    <row r="117">
      <c r="A117" s="8" t="n"/>
      <c r="B117" s="8" t="n"/>
      <c r="C117" s="8" t="n"/>
      <c r="D117" s="8" t="n"/>
      <c r="E117" s="8" t="n"/>
      <c r="F117" s="8" t="n"/>
      <c r="G117" s="9" t="n"/>
    </row>
    <row r="118">
      <c r="A118" s="8" t="n"/>
      <c r="B118" s="8" t="n"/>
      <c r="C118" s="8" t="n"/>
      <c r="D118" s="8" t="n"/>
      <c r="E118" s="8" t="n"/>
      <c r="F118" s="8" t="n"/>
      <c r="G118" s="9" t="n"/>
    </row>
    <row r="119">
      <c r="A119" s="8" t="n"/>
      <c r="B119" s="8" t="n"/>
      <c r="C119" s="8" t="n"/>
      <c r="D119" s="8" t="n"/>
      <c r="E119" s="8" t="n"/>
      <c r="F119" s="8" t="n"/>
      <c r="G119" s="9" t="n"/>
    </row>
    <row r="120">
      <c r="A120" s="8" t="n"/>
      <c r="B120" s="8" t="n"/>
      <c r="C120" s="8" t="n"/>
      <c r="D120" s="8" t="n"/>
      <c r="E120" s="8" t="n"/>
      <c r="F120" s="8" t="n"/>
      <c r="G120" s="9" t="n"/>
    </row>
    <row r="121">
      <c r="A121" s="8" t="n"/>
      <c r="B121" s="8" t="n"/>
      <c r="C121" s="8" t="n"/>
      <c r="D121" s="8" t="n"/>
      <c r="E121" s="8" t="n"/>
      <c r="F121" s="8" t="n"/>
      <c r="G121" s="9" t="n"/>
    </row>
    <row r="122">
      <c r="A122" s="8" t="n"/>
      <c r="B122" s="8" t="n"/>
      <c r="C122" s="8" t="n"/>
      <c r="D122" s="8" t="n"/>
      <c r="E122" s="8" t="n"/>
      <c r="F122" s="8" t="n"/>
      <c r="G122" s="9" t="n"/>
    </row>
    <row r="123">
      <c r="A123" s="8" t="n"/>
      <c r="B123" s="8" t="n"/>
      <c r="C123" s="8" t="n"/>
      <c r="D123" s="8" t="n"/>
      <c r="E123" s="8" t="n"/>
      <c r="F123" s="8" t="n"/>
      <c r="G123" s="9" t="n"/>
    </row>
    <row r="124">
      <c r="A124" s="8" t="n"/>
      <c r="B124" s="8" t="n"/>
      <c r="C124" s="8" t="n"/>
      <c r="D124" s="8" t="n"/>
      <c r="E124" s="8" t="n"/>
      <c r="F124" s="8" t="n"/>
      <c r="G124" s="9" t="n"/>
    </row>
    <row r="125">
      <c r="A125" s="8" t="n"/>
      <c r="B125" s="8" t="n"/>
      <c r="C125" s="8" t="n"/>
      <c r="D125" s="8" t="n"/>
      <c r="E125" s="8" t="n"/>
      <c r="F125" s="8" t="n"/>
      <c r="G125" s="9" t="n"/>
    </row>
    <row r="126">
      <c r="A126" s="8" t="n"/>
      <c r="B126" s="8" t="n"/>
      <c r="C126" s="8" t="n"/>
      <c r="D126" s="8" t="n"/>
      <c r="E126" s="8" t="n"/>
      <c r="F126" s="8" t="n"/>
      <c r="G126" s="9" t="n"/>
    </row>
    <row r="127">
      <c r="A127" s="8" t="n"/>
      <c r="B127" s="8" t="n"/>
      <c r="C127" s="8" t="n"/>
      <c r="D127" s="8" t="n"/>
      <c r="E127" s="8" t="n"/>
      <c r="F127" s="8" t="n"/>
      <c r="G127" s="9" t="n"/>
    </row>
    <row r="128">
      <c r="A128" s="8" t="n"/>
      <c r="B128" s="8" t="n"/>
      <c r="C128" s="8" t="n"/>
      <c r="D128" s="8" t="n"/>
      <c r="E128" s="8" t="n"/>
      <c r="F128" s="8" t="n"/>
      <c r="G128" s="9" t="n"/>
    </row>
    <row r="129">
      <c r="A129" s="8" t="n"/>
      <c r="B129" s="8" t="n"/>
      <c r="C129" s="8" t="n"/>
      <c r="D129" s="8" t="n"/>
      <c r="E129" s="8" t="n"/>
      <c r="F129" s="8" t="n"/>
      <c r="G129" s="9" t="n"/>
    </row>
    <row r="130">
      <c r="A130" s="8" t="n"/>
      <c r="B130" s="8" t="n"/>
      <c r="C130" s="8" t="n"/>
      <c r="D130" s="8" t="n"/>
      <c r="E130" s="8" t="n"/>
      <c r="F130" s="8" t="n"/>
      <c r="G130" s="9" t="n"/>
    </row>
    <row r="131">
      <c r="A131" s="8" t="n"/>
      <c r="B131" s="8" t="n"/>
      <c r="C131" s="8" t="n"/>
      <c r="D131" s="8" t="n"/>
      <c r="E131" s="8" t="n"/>
      <c r="F131" s="8" t="n"/>
      <c r="G131" s="9" t="n"/>
    </row>
    <row r="132">
      <c r="A132" s="8" t="n"/>
      <c r="B132" s="8" t="n"/>
      <c r="C132" s="8" t="n"/>
      <c r="D132" s="8" t="n"/>
      <c r="E132" s="8" t="n"/>
      <c r="F132" s="8" t="n"/>
      <c r="G132" s="9" t="n"/>
    </row>
    <row r="133">
      <c r="A133" s="8" t="n"/>
      <c r="B133" s="8" t="n"/>
      <c r="C133" s="8" t="n"/>
      <c r="D133" s="8" t="n"/>
      <c r="E133" s="8" t="n"/>
      <c r="F133" s="8" t="n"/>
      <c r="G133" s="9" t="n"/>
    </row>
    <row r="134">
      <c r="A134" s="8" t="n"/>
      <c r="B134" s="8" t="n"/>
      <c r="C134" s="8" t="n"/>
      <c r="D134" s="8" t="n"/>
      <c r="E134" s="8" t="n"/>
      <c r="F134" s="8" t="n"/>
      <c r="G134" s="9" t="n"/>
    </row>
    <row r="135">
      <c r="A135" s="8" t="n"/>
      <c r="B135" s="8" t="n"/>
      <c r="C135" s="8" t="n"/>
      <c r="D135" s="8" t="n"/>
      <c r="E135" s="8" t="n"/>
      <c r="F135" s="8" t="n"/>
      <c r="G135" s="9" t="n"/>
    </row>
    <row r="136">
      <c r="A136" s="8" t="n"/>
      <c r="B136" s="8" t="n"/>
      <c r="C136" s="8" t="n"/>
      <c r="D136" s="8" t="n"/>
      <c r="E136" s="8" t="n"/>
      <c r="F136" s="8" t="n"/>
      <c r="G136" s="9" t="n"/>
    </row>
    <row r="137">
      <c r="A137" s="8" t="n"/>
      <c r="B137" s="8" t="n"/>
      <c r="C137" s="8" t="n"/>
      <c r="D137" s="8" t="n"/>
      <c r="E137" s="8" t="n"/>
      <c r="F137" s="8" t="n"/>
      <c r="G137" s="9" t="n"/>
    </row>
    <row r="138">
      <c r="A138" s="8" t="n"/>
      <c r="B138" s="8" t="n"/>
      <c r="C138" s="8" t="n"/>
      <c r="D138" s="8" t="n"/>
      <c r="E138" s="8" t="n"/>
      <c r="F138" s="8" t="n"/>
      <c r="G138" s="9" t="n"/>
    </row>
    <row r="139">
      <c r="A139" s="8" t="n"/>
      <c r="B139" s="8" t="n"/>
      <c r="C139" s="8" t="n"/>
      <c r="D139" s="8" t="n"/>
      <c r="E139" s="8" t="n"/>
      <c r="F139" s="8" t="n"/>
      <c r="G139" s="9" t="n"/>
    </row>
    <row r="140">
      <c r="A140" s="8" t="n"/>
      <c r="B140" s="8" t="n"/>
      <c r="C140" s="8" t="n"/>
      <c r="D140" s="8" t="n"/>
      <c r="E140" s="8" t="n"/>
      <c r="F140" s="8" t="n"/>
      <c r="G140" s="9" t="n"/>
    </row>
    <row r="141">
      <c r="A141" s="8" t="n"/>
      <c r="B141" s="8" t="n"/>
      <c r="C141" s="8" t="n"/>
      <c r="D141" s="8" t="n"/>
      <c r="E141" s="8" t="n"/>
      <c r="F141" s="8" t="n"/>
      <c r="G141" s="9" t="n"/>
    </row>
    <row r="142">
      <c r="A142" s="8" t="n"/>
      <c r="B142" s="8" t="n"/>
      <c r="C142" s="8" t="n"/>
      <c r="D142" s="8" t="n"/>
      <c r="E142" s="8" t="n"/>
      <c r="F142" s="8" t="n"/>
      <c r="G142" s="9" t="n"/>
    </row>
    <row r="143">
      <c r="A143" s="8" t="n"/>
      <c r="B143" s="8" t="n"/>
      <c r="C143" s="8" t="n"/>
      <c r="D143" s="8" t="n"/>
      <c r="E143" s="8" t="n"/>
      <c r="F143" s="8" t="n"/>
      <c r="G143" s="9" t="n"/>
    </row>
    <row r="144">
      <c r="A144" s="8" t="n"/>
      <c r="B144" s="8" t="n"/>
      <c r="C144" s="8" t="n"/>
      <c r="D144" s="8" t="n"/>
      <c r="E144" s="8" t="n"/>
      <c r="F144" s="8" t="n"/>
      <c r="G144" s="9" t="n"/>
    </row>
    <row r="145">
      <c r="A145" s="8" t="n"/>
      <c r="B145" s="8" t="n"/>
      <c r="C145" s="8" t="n"/>
      <c r="D145" s="8" t="n"/>
      <c r="E145" s="8" t="n"/>
      <c r="F145" s="8" t="n"/>
      <c r="G145" s="9" t="n"/>
    </row>
    <row r="146">
      <c r="A146" s="8" t="n"/>
      <c r="B146" s="8" t="n"/>
      <c r="C146" s="8" t="n"/>
      <c r="D146" s="8" t="n"/>
      <c r="E146" s="8" t="n"/>
      <c r="F146" s="8" t="n"/>
      <c r="G146" s="9" t="n"/>
    </row>
    <row r="147">
      <c r="A147" s="8" t="n"/>
      <c r="B147" s="8" t="n"/>
      <c r="C147" s="8" t="n"/>
      <c r="D147" s="8" t="n"/>
      <c r="E147" s="8" t="n"/>
      <c r="F147" s="8" t="n"/>
      <c r="G147" s="9" t="n"/>
    </row>
    <row r="148">
      <c r="A148" s="8" t="n"/>
      <c r="B148" s="8" t="n"/>
      <c r="C148" s="8" t="n"/>
      <c r="D148" s="8" t="n"/>
      <c r="E148" s="8" t="n"/>
      <c r="F148" s="8" t="n"/>
      <c r="G148" s="9" t="n"/>
    </row>
    <row r="149">
      <c r="A149" s="8" t="n"/>
      <c r="B149" s="8" t="n"/>
      <c r="C149" s="8" t="n"/>
      <c r="D149" s="8" t="n"/>
      <c r="E149" s="8" t="n"/>
      <c r="F149" s="8" t="n"/>
      <c r="G149" s="9" t="n"/>
    </row>
    <row r="150">
      <c r="A150" s="8" t="n"/>
      <c r="B150" s="8" t="n"/>
      <c r="C150" s="8" t="n"/>
      <c r="D150" s="8" t="n"/>
      <c r="E150" s="8" t="n"/>
      <c r="F150" s="8" t="n"/>
      <c r="G150" s="9" t="n"/>
    </row>
    <row r="151">
      <c r="A151" s="8" t="n"/>
      <c r="B151" s="8" t="n"/>
      <c r="C151" s="8" t="n"/>
      <c r="D151" s="8" t="n"/>
      <c r="E151" s="8" t="n"/>
      <c r="F151" s="8" t="n"/>
      <c r="G151" s="9" t="n"/>
    </row>
    <row r="152">
      <c r="A152" s="8" t="n"/>
      <c r="B152" s="8" t="n"/>
      <c r="C152" s="8" t="n"/>
      <c r="D152" s="8" t="n"/>
      <c r="E152" s="8" t="n"/>
      <c r="F152" s="8" t="n"/>
      <c r="G152" s="9" t="n"/>
    </row>
    <row r="153">
      <c r="A153" s="8" t="n"/>
      <c r="B153" s="8" t="n"/>
      <c r="C153" s="8" t="n"/>
      <c r="D153" s="8" t="n"/>
      <c r="E153" s="8" t="n"/>
      <c r="F153" s="8" t="n"/>
      <c r="G153" s="9" t="n"/>
    </row>
    <row r="154">
      <c r="A154" s="8" t="n"/>
      <c r="B154" s="8" t="n"/>
      <c r="C154" s="8" t="n"/>
      <c r="D154" s="8" t="n"/>
      <c r="E154" s="8" t="n"/>
      <c r="F154" s="8" t="n"/>
      <c r="G154" s="9" t="n"/>
    </row>
    <row r="155">
      <c r="A155" s="8" t="n"/>
      <c r="B155" s="8" t="n"/>
      <c r="C155" s="8" t="n"/>
      <c r="D155" s="8" t="n"/>
      <c r="E155" s="8" t="n"/>
      <c r="F155" s="8" t="n"/>
      <c r="G155" s="9" t="n"/>
    </row>
    <row r="156">
      <c r="A156" s="8" t="n"/>
      <c r="B156" s="8" t="n"/>
      <c r="C156" s="8" t="n"/>
      <c r="D156" s="8" t="n"/>
      <c r="E156" s="8" t="n"/>
      <c r="F156" s="8" t="n"/>
      <c r="G156" s="9" t="n"/>
    </row>
    <row r="157">
      <c r="A157" s="8" t="n"/>
      <c r="B157" s="8" t="n"/>
      <c r="C157" s="8" t="n"/>
      <c r="D157" s="8" t="n"/>
      <c r="E157" s="8" t="n"/>
      <c r="F157" s="8" t="n"/>
      <c r="G157" s="9" t="n"/>
    </row>
    <row r="158">
      <c r="A158" s="8" t="n"/>
      <c r="B158" s="8" t="n"/>
      <c r="C158" s="8" t="n"/>
      <c r="D158" s="8" t="n"/>
      <c r="E158" s="8" t="n"/>
      <c r="F158" s="8" t="n"/>
      <c r="G158" s="9" t="n"/>
    </row>
    <row r="159">
      <c r="A159" s="8" t="n"/>
      <c r="B159" s="8" t="n"/>
      <c r="C159" s="8" t="n"/>
      <c r="D159" s="8" t="n"/>
      <c r="E159" s="8" t="n"/>
      <c r="F159" s="8" t="n"/>
      <c r="G159" s="9" t="n"/>
    </row>
    <row r="160">
      <c r="A160" s="8" t="n"/>
      <c r="B160" s="8" t="n"/>
      <c r="C160" s="8" t="n"/>
      <c r="D160" s="8" t="n"/>
      <c r="E160" s="8" t="n"/>
      <c r="F160" s="8" t="n"/>
      <c r="G160" s="9" t="n"/>
    </row>
    <row r="161">
      <c r="A161" s="8" t="n"/>
      <c r="B161" s="8" t="n"/>
      <c r="C161" s="8" t="n"/>
      <c r="D161" s="8" t="n"/>
      <c r="E161" s="8" t="n"/>
      <c r="F161" s="8" t="n"/>
      <c r="G161" s="9" t="n"/>
    </row>
    <row r="162">
      <c r="A162" s="8" t="n"/>
      <c r="B162" s="8" t="n"/>
      <c r="C162" s="8" t="n"/>
      <c r="D162" s="8" t="n"/>
      <c r="E162" s="8" t="n"/>
      <c r="F162" s="8" t="n"/>
      <c r="G162" s="9" t="n"/>
    </row>
    <row r="163">
      <c r="A163" s="8" t="n"/>
      <c r="B163" s="8" t="n"/>
      <c r="C163" s="8" t="n"/>
      <c r="D163" s="8" t="n"/>
      <c r="E163" s="8" t="n"/>
      <c r="F163" s="8" t="n"/>
      <c r="G163" s="9" t="n"/>
    </row>
    <row r="164">
      <c r="A164" s="8" t="n"/>
      <c r="B164" s="8" t="n"/>
      <c r="C164" s="8" t="n"/>
      <c r="D164" s="8" t="n"/>
      <c r="E164" s="8" t="n"/>
      <c r="F164" s="8" t="n"/>
      <c r="G164" s="9" t="n"/>
    </row>
    <row r="165">
      <c r="A165" s="8" t="n"/>
      <c r="B165" s="8" t="n"/>
      <c r="C165" s="8" t="n"/>
      <c r="D165" s="8" t="n"/>
      <c r="E165" s="8" t="n"/>
      <c r="F165" s="8" t="n"/>
      <c r="G165" s="9" t="n"/>
    </row>
    <row r="166">
      <c r="A166" s="8" t="n"/>
      <c r="B166" s="8" t="n"/>
      <c r="C166" s="8" t="n"/>
      <c r="D166" s="8" t="n"/>
      <c r="E166" s="8" t="n"/>
      <c r="F166" s="8" t="n"/>
      <c r="G166" s="9" t="n"/>
    </row>
    <row r="167">
      <c r="A167" s="8" t="n"/>
      <c r="B167" s="8" t="n"/>
      <c r="C167" s="8" t="n"/>
      <c r="D167" s="8" t="n"/>
      <c r="E167" s="8" t="n"/>
      <c r="F167" s="8" t="n"/>
      <c r="G167" s="9" t="n"/>
    </row>
    <row r="168">
      <c r="A168" s="8" t="n"/>
      <c r="B168" s="8" t="n"/>
      <c r="C168" s="8" t="n"/>
      <c r="D168" s="8" t="n"/>
      <c r="E168" s="8" t="n"/>
      <c r="F168" s="8" t="n"/>
      <c r="G168" s="9" t="n"/>
    </row>
    <row r="169">
      <c r="A169" s="8" t="n"/>
      <c r="B169" s="8" t="n"/>
      <c r="C169" s="8" t="n"/>
      <c r="D169" s="8" t="n"/>
      <c r="E169" s="8" t="n"/>
      <c r="F169" s="8" t="n"/>
      <c r="G169" s="9" t="n"/>
    </row>
    <row r="170">
      <c r="A170" s="8" t="n"/>
      <c r="B170" s="8" t="n"/>
      <c r="C170" s="8" t="n"/>
      <c r="D170" s="8" t="n"/>
      <c r="E170" s="8" t="n"/>
      <c r="F170" s="8" t="n"/>
      <c r="G170" s="9" t="n"/>
    </row>
    <row r="171">
      <c r="A171" s="8" t="n"/>
      <c r="B171" s="8" t="n"/>
      <c r="C171" s="8" t="n"/>
      <c r="D171" s="8" t="n"/>
      <c r="E171" s="8" t="n"/>
      <c r="F171" s="8" t="n"/>
      <c r="G171" s="9" t="n"/>
    </row>
    <row r="172">
      <c r="A172" s="8" t="n"/>
      <c r="B172" s="8" t="n"/>
      <c r="C172" s="8" t="n"/>
      <c r="D172" s="8" t="n"/>
      <c r="E172" s="8" t="n"/>
      <c r="F172" s="8" t="n"/>
      <c r="G172" s="9" t="n"/>
    </row>
    <row r="173">
      <c r="A173" s="8" t="n"/>
      <c r="B173" s="8" t="n"/>
      <c r="C173" s="8" t="n"/>
      <c r="D173" s="8" t="n"/>
      <c r="E173" s="8" t="n"/>
      <c r="F173" s="8" t="n"/>
      <c r="G173" s="9" t="n"/>
    </row>
    <row r="174">
      <c r="A174" s="8" t="n"/>
      <c r="B174" s="8" t="n"/>
      <c r="C174" s="8" t="n"/>
      <c r="D174" s="8" t="n"/>
      <c r="E174" s="8" t="n"/>
      <c r="F174" s="8" t="n"/>
      <c r="G174" s="9" t="n"/>
    </row>
    <row r="175">
      <c r="A175" s="8" t="n"/>
      <c r="B175" s="8" t="n"/>
      <c r="C175" s="8" t="n"/>
      <c r="D175" s="8" t="n"/>
      <c r="E175" s="8" t="n"/>
      <c r="F175" s="8" t="n"/>
      <c r="G175" s="9" t="n"/>
    </row>
    <row r="176">
      <c r="A176" s="8" t="n"/>
      <c r="B176" s="8" t="n"/>
      <c r="C176" s="8" t="n"/>
      <c r="D176" s="8" t="n"/>
      <c r="E176" s="8" t="n"/>
      <c r="F176" s="8" t="n"/>
      <c r="G176" s="9" t="n"/>
    </row>
    <row r="177">
      <c r="A177" s="8" t="n"/>
      <c r="B177" s="8" t="n"/>
      <c r="C177" s="8" t="n"/>
      <c r="D177" s="8" t="n"/>
      <c r="E177" s="8" t="n"/>
      <c r="F177" s="8" t="n"/>
      <c r="G177" s="9" t="n"/>
    </row>
    <row r="178">
      <c r="A178" s="8" t="n"/>
      <c r="B178" s="8" t="n"/>
      <c r="C178" s="8" t="n"/>
      <c r="D178" s="8" t="n"/>
      <c r="E178" s="8" t="n"/>
      <c r="F178" s="8" t="n"/>
      <c r="G178" s="9" t="n"/>
    </row>
    <row r="179">
      <c r="A179" s="8" t="n"/>
      <c r="B179" s="8" t="n"/>
      <c r="C179" s="8" t="n"/>
      <c r="D179" s="8" t="n"/>
      <c r="E179" s="8" t="n"/>
      <c r="F179" s="8" t="n"/>
      <c r="G179" s="9" t="n"/>
    </row>
    <row r="180">
      <c r="A180" s="8" t="n"/>
      <c r="B180" s="8" t="n"/>
      <c r="C180" s="8" t="n"/>
      <c r="D180" s="8" t="n"/>
      <c r="E180" s="8" t="n"/>
      <c r="F180" s="8" t="n"/>
      <c r="G180" s="9" t="n"/>
    </row>
    <row r="181">
      <c r="A181" s="8" t="n"/>
      <c r="B181" s="8" t="n"/>
      <c r="C181" s="8" t="n"/>
      <c r="D181" s="8" t="n"/>
      <c r="E181" s="8" t="n"/>
      <c r="F181" s="8" t="n"/>
      <c r="G181" s="9" t="n"/>
    </row>
    <row r="182">
      <c r="A182" s="8" t="n"/>
      <c r="B182" s="8" t="n"/>
      <c r="C182" s="8" t="n"/>
      <c r="D182" s="8" t="n"/>
      <c r="E182" s="8" t="n"/>
      <c r="F182" s="8" t="n"/>
      <c r="G182" s="9" t="n"/>
    </row>
    <row r="183">
      <c r="A183" s="8" t="n"/>
      <c r="B183" s="8" t="n"/>
      <c r="C183" s="8" t="n"/>
      <c r="D183" s="8" t="n"/>
      <c r="E183" s="8" t="n"/>
      <c r="F183" s="8" t="n"/>
      <c r="G183" s="9" t="n"/>
    </row>
    <row r="184">
      <c r="A184" s="8" t="n"/>
      <c r="B184" s="8" t="n"/>
      <c r="C184" s="8" t="n"/>
      <c r="D184" s="8" t="n"/>
      <c r="E184" s="8" t="n"/>
      <c r="F184" s="8" t="n"/>
      <c r="G184" s="9" t="n"/>
    </row>
    <row r="185">
      <c r="A185" s="8" t="n"/>
      <c r="B185" s="8" t="n"/>
      <c r="C185" s="8" t="n"/>
      <c r="D185" s="8" t="n"/>
      <c r="E185" s="8" t="n"/>
      <c r="F185" s="8" t="n"/>
      <c r="G185" s="9" t="n"/>
    </row>
    <row r="186">
      <c r="A186" s="8" t="n"/>
      <c r="B186" s="8" t="n"/>
      <c r="C186" s="8" t="n"/>
      <c r="D186" s="8" t="n"/>
      <c r="E186" s="8" t="n"/>
      <c r="F186" s="8" t="n"/>
      <c r="G186" s="9" t="n"/>
    </row>
    <row r="187">
      <c r="A187" s="8" t="n"/>
      <c r="B187" s="8" t="n"/>
      <c r="C187" s="8" t="n"/>
      <c r="D187" s="8" t="n"/>
      <c r="E187" s="8" t="n"/>
      <c r="F187" s="8" t="n"/>
      <c r="G187" s="9" t="n"/>
    </row>
    <row r="188">
      <c r="A188" s="8" t="n"/>
      <c r="B188" s="8" t="n"/>
      <c r="C188" s="8" t="n"/>
      <c r="D188" s="8" t="n"/>
      <c r="E188" s="8" t="n"/>
      <c r="F188" s="8" t="n"/>
      <c r="G188" s="9" t="n"/>
    </row>
    <row r="189">
      <c r="A189" s="8" t="n"/>
      <c r="B189" s="8" t="n"/>
      <c r="C189" s="8" t="n"/>
      <c r="D189" s="8" t="n"/>
      <c r="E189" s="8" t="n"/>
      <c r="F189" s="8" t="n"/>
      <c r="G189" s="9" t="n"/>
    </row>
    <row r="190">
      <c r="A190" s="8" t="n"/>
      <c r="B190" s="8" t="n"/>
      <c r="C190" s="8" t="n"/>
      <c r="D190" s="8" t="n"/>
      <c r="E190" s="8" t="n"/>
      <c r="F190" s="8" t="n"/>
      <c r="G190" s="9" t="n"/>
    </row>
    <row r="191">
      <c r="A191" s="8" t="n"/>
      <c r="B191" s="8" t="n"/>
      <c r="C191" s="8" t="n"/>
      <c r="D191" s="8" t="n"/>
      <c r="E191" s="8" t="n"/>
      <c r="F191" s="8" t="n"/>
      <c r="G191" s="9" t="n"/>
    </row>
    <row r="192">
      <c r="A192" s="8" t="n"/>
      <c r="B192" s="8" t="n"/>
      <c r="C192" s="8" t="n"/>
      <c r="D192" s="8" t="n"/>
      <c r="E192" s="8" t="n"/>
      <c r="F192" s="8" t="n"/>
      <c r="G192" s="9" t="n"/>
    </row>
    <row r="193">
      <c r="A193" s="8" t="n"/>
      <c r="B193" s="8" t="n"/>
      <c r="C193" s="8" t="n"/>
      <c r="D193" s="8" t="n"/>
      <c r="E193" s="8" t="n"/>
      <c r="F193" s="8" t="n"/>
      <c r="G193" s="9" t="n"/>
    </row>
    <row r="194">
      <c r="A194" s="8" t="n"/>
      <c r="B194" s="8" t="n"/>
      <c r="C194" s="8" t="n"/>
      <c r="D194" s="8" t="n"/>
      <c r="E194" s="8" t="n"/>
      <c r="F194" s="8" t="n"/>
      <c r="G194" s="9" t="n"/>
    </row>
    <row r="195">
      <c r="A195" s="8" t="n"/>
      <c r="B195" s="8" t="n"/>
      <c r="C195" s="8" t="n"/>
      <c r="D195" s="8" t="n"/>
      <c r="E195" s="8" t="n"/>
      <c r="F195" s="8" t="n"/>
      <c r="G195" s="9" t="n"/>
    </row>
    <row r="196">
      <c r="A196" s="8" t="n"/>
      <c r="B196" s="8" t="n"/>
      <c r="C196" s="8" t="n"/>
      <c r="D196" s="8" t="n"/>
      <c r="E196" s="8" t="n"/>
      <c r="F196" s="8" t="n"/>
      <c r="G196" s="9" t="n"/>
    </row>
    <row r="197">
      <c r="A197" s="8" t="n"/>
      <c r="B197" s="8" t="n"/>
      <c r="C197" s="8" t="n"/>
      <c r="D197" s="8" t="n"/>
      <c r="E197" s="8" t="n"/>
      <c r="F197" s="8" t="n"/>
      <c r="G197" s="9" t="n"/>
    </row>
    <row r="198">
      <c r="A198" s="8" t="n"/>
      <c r="B198" s="8" t="n"/>
      <c r="C198" s="8" t="n"/>
      <c r="D198" s="8" t="n"/>
      <c r="E198" s="8" t="n"/>
      <c r="F198" s="8" t="n"/>
      <c r="G198" s="9" t="n"/>
    </row>
    <row r="199">
      <c r="A199" s="8" t="n"/>
      <c r="B199" s="8" t="n"/>
      <c r="C199" s="8" t="n"/>
      <c r="D199" s="8" t="n"/>
      <c r="E199" s="8" t="n"/>
      <c r="F199" s="8" t="n"/>
      <c r="G199" s="9" t="n"/>
    </row>
    <row r="200">
      <c r="A200" s="8" t="n"/>
      <c r="B200" s="8" t="n"/>
      <c r="C200" s="8" t="n"/>
      <c r="D200" s="8" t="n"/>
      <c r="E200" s="8" t="n"/>
      <c r="F200" s="8" t="n"/>
      <c r="G200" s="9" t="n"/>
    </row>
    <row r="201">
      <c r="A201" s="8" t="n"/>
      <c r="B201" s="8" t="n"/>
      <c r="C201" s="8" t="n"/>
      <c r="D201" s="8" t="n"/>
      <c r="E201" s="8" t="n"/>
      <c r="F201" s="8" t="n"/>
      <c r="G2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5560"/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24" customWidth="1" min="4" max="4"/>
    <col width="24" customWidth="1" min="5" max="5"/>
    <col width="24" customWidth="1" min="6" max="6"/>
    <col width="10" customWidth="1" min="7" max="7"/>
    <col width="46" customWidth="1" min="8" max="8"/>
  </cols>
  <sheetData>
    <row r="1" ht="28" customHeight="1">
      <c r="A1" s="7" t="inlineStr">
        <is>
          <t>ID</t>
        </is>
      </c>
      <c r="B1" s="7" t="inlineStr">
        <is>
          <t>Applicant</t>
        </is>
      </c>
      <c r="C1" s="7" t="inlineStr">
        <is>
          <t>Reader</t>
        </is>
      </c>
      <c r="D1" s="7" t="inlineStr">
        <is>
          <t>A path of your own (1–5)</t>
        </is>
      </c>
      <c r="E1" s="7" t="inlineStr">
        <is>
          <t>Steps already taken (1–5)</t>
        </is>
      </c>
      <c r="F1" s="7" t="inlineStr">
        <is>
          <t>What $1,000 changes (1–5)</t>
        </is>
      </c>
      <c r="G1" s="7" t="inlineStr">
        <is>
          <t>Total</t>
        </is>
      </c>
      <c r="H1" s="7" t="inlineStr">
        <is>
          <t>Notes (private to readers)</t>
        </is>
      </c>
    </row>
    <row r="2">
      <c r="A2" s="8">
        <f>IF(Applications!A2="","",Applications!A2)</f>
        <v/>
      </c>
      <c r="B2" s="8">
        <f>IF(Applications!A2="","",Applications!C2)</f>
        <v/>
      </c>
      <c r="C2" s="8">
        <f>IF(Applications!A2="","","Reader 1")</f>
        <v/>
      </c>
      <c r="D2" s="8" t="n"/>
      <c r="E2" s="8" t="n"/>
      <c r="F2" s="8" t="n"/>
      <c r="G2" s="8">
        <f>IF(COUNT(D2:F2)=0,"",SUM(D2:F2))</f>
        <v/>
      </c>
      <c r="H2" s="9" t="n"/>
    </row>
    <row r="3">
      <c r="A3" s="8">
        <f>IF(Applications!A2="","",Applications!A2)</f>
        <v/>
      </c>
      <c r="B3" s="8">
        <f>IF(Applications!A2="","",Applications!C2)</f>
        <v/>
      </c>
      <c r="C3" s="8">
        <f>IF(Applications!A2="","","Reader 2")</f>
        <v/>
      </c>
      <c r="D3" s="8" t="n"/>
      <c r="E3" s="8" t="n"/>
      <c r="F3" s="8" t="n"/>
      <c r="G3" s="8">
        <f>IF(COUNT(D3:F3)=0,"",SUM(D3:F3))</f>
        <v/>
      </c>
      <c r="H3" s="9" t="n"/>
    </row>
    <row r="4">
      <c r="A4" s="8">
        <f>IF(Applications!A3="","",Applications!A3)</f>
        <v/>
      </c>
      <c r="B4" s="8">
        <f>IF(Applications!A3="","",Applications!C3)</f>
        <v/>
      </c>
      <c r="C4" s="8">
        <f>IF(Applications!A3="","","Reader 1")</f>
        <v/>
      </c>
      <c r="D4" s="8" t="n"/>
      <c r="E4" s="8" t="n"/>
      <c r="F4" s="8" t="n"/>
      <c r="G4" s="8">
        <f>IF(COUNT(D4:F4)=0,"",SUM(D4:F4))</f>
        <v/>
      </c>
      <c r="H4" s="9" t="n"/>
    </row>
    <row r="5">
      <c r="A5" s="8">
        <f>IF(Applications!A3="","",Applications!A3)</f>
        <v/>
      </c>
      <c r="B5" s="8">
        <f>IF(Applications!A3="","",Applications!C3)</f>
        <v/>
      </c>
      <c r="C5" s="8">
        <f>IF(Applications!A3="","","Reader 2")</f>
        <v/>
      </c>
      <c r="D5" s="8" t="n"/>
      <c r="E5" s="8" t="n"/>
      <c r="F5" s="8" t="n"/>
      <c r="G5" s="8">
        <f>IF(COUNT(D5:F5)=0,"",SUM(D5:F5))</f>
        <v/>
      </c>
      <c r="H5" s="9" t="n"/>
    </row>
    <row r="6">
      <c r="A6" s="8">
        <f>IF(Applications!A4="","",Applications!A4)</f>
        <v/>
      </c>
      <c r="B6" s="8">
        <f>IF(Applications!A4="","",Applications!C4)</f>
        <v/>
      </c>
      <c r="C6" s="8">
        <f>IF(Applications!A4="","","Reader 1")</f>
        <v/>
      </c>
      <c r="D6" s="8" t="n"/>
      <c r="E6" s="8" t="n"/>
      <c r="F6" s="8" t="n"/>
      <c r="G6" s="8">
        <f>IF(COUNT(D6:F6)=0,"",SUM(D6:F6))</f>
        <v/>
      </c>
      <c r="H6" s="9" t="n"/>
    </row>
    <row r="7">
      <c r="A7" s="8">
        <f>IF(Applications!A4="","",Applications!A4)</f>
        <v/>
      </c>
      <c r="B7" s="8">
        <f>IF(Applications!A4="","",Applications!C4)</f>
        <v/>
      </c>
      <c r="C7" s="8">
        <f>IF(Applications!A4="","","Reader 2")</f>
        <v/>
      </c>
      <c r="D7" s="8" t="n"/>
      <c r="E7" s="8" t="n"/>
      <c r="F7" s="8" t="n"/>
      <c r="G7" s="8">
        <f>IF(COUNT(D7:F7)=0,"",SUM(D7:F7))</f>
        <v/>
      </c>
      <c r="H7" s="9" t="n"/>
    </row>
    <row r="8">
      <c r="A8" s="8">
        <f>IF(Applications!A5="","",Applications!A5)</f>
        <v/>
      </c>
      <c r="B8" s="8">
        <f>IF(Applications!A5="","",Applications!C5)</f>
        <v/>
      </c>
      <c r="C8" s="8">
        <f>IF(Applications!A5="","","Reader 1")</f>
        <v/>
      </c>
      <c r="D8" s="8" t="n"/>
      <c r="E8" s="8" t="n"/>
      <c r="F8" s="8" t="n"/>
      <c r="G8" s="8">
        <f>IF(COUNT(D8:F8)=0,"",SUM(D8:F8))</f>
        <v/>
      </c>
      <c r="H8" s="9" t="n"/>
    </row>
    <row r="9">
      <c r="A9" s="8">
        <f>IF(Applications!A5="","",Applications!A5)</f>
        <v/>
      </c>
      <c r="B9" s="8">
        <f>IF(Applications!A5="","",Applications!C5)</f>
        <v/>
      </c>
      <c r="C9" s="8">
        <f>IF(Applications!A5="","","Reader 2")</f>
        <v/>
      </c>
      <c r="D9" s="8" t="n"/>
      <c r="E9" s="8" t="n"/>
      <c r="F9" s="8" t="n"/>
      <c r="G9" s="8">
        <f>IF(COUNT(D9:F9)=0,"",SUM(D9:F9))</f>
        <v/>
      </c>
      <c r="H9" s="9" t="n"/>
    </row>
    <row r="10">
      <c r="A10" s="8">
        <f>IF(Applications!A6="","",Applications!A6)</f>
        <v/>
      </c>
      <c r="B10" s="8">
        <f>IF(Applications!A6="","",Applications!C6)</f>
        <v/>
      </c>
      <c r="C10" s="8">
        <f>IF(Applications!A6="","","Reader 1")</f>
        <v/>
      </c>
      <c r="D10" s="8" t="n"/>
      <c r="E10" s="8" t="n"/>
      <c r="F10" s="8" t="n"/>
      <c r="G10" s="8">
        <f>IF(COUNT(D10:F10)=0,"",SUM(D10:F10))</f>
        <v/>
      </c>
      <c r="H10" s="9" t="n"/>
    </row>
    <row r="11">
      <c r="A11" s="8">
        <f>IF(Applications!A6="","",Applications!A6)</f>
        <v/>
      </c>
      <c r="B11" s="8">
        <f>IF(Applications!A6="","",Applications!C6)</f>
        <v/>
      </c>
      <c r="C11" s="8">
        <f>IF(Applications!A6="","","Reader 2")</f>
        <v/>
      </c>
      <c r="D11" s="8" t="n"/>
      <c r="E11" s="8" t="n"/>
      <c r="F11" s="8" t="n"/>
      <c r="G11" s="8">
        <f>IF(COUNT(D11:F11)=0,"",SUM(D11:F11))</f>
        <v/>
      </c>
      <c r="H11" s="9" t="n"/>
    </row>
    <row r="12">
      <c r="A12" s="8">
        <f>IF(Applications!A7="","",Applications!A7)</f>
        <v/>
      </c>
      <c r="B12" s="8">
        <f>IF(Applications!A7="","",Applications!C7)</f>
        <v/>
      </c>
      <c r="C12" s="8">
        <f>IF(Applications!A7="","","Reader 1")</f>
        <v/>
      </c>
      <c r="D12" s="8" t="n"/>
      <c r="E12" s="8" t="n"/>
      <c r="F12" s="8" t="n"/>
      <c r="G12" s="8">
        <f>IF(COUNT(D12:F12)=0,"",SUM(D12:F12))</f>
        <v/>
      </c>
      <c r="H12" s="9" t="n"/>
    </row>
    <row r="13">
      <c r="A13" s="8">
        <f>IF(Applications!A7="","",Applications!A7)</f>
        <v/>
      </c>
      <c r="B13" s="8">
        <f>IF(Applications!A7="","",Applications!C7)</f>
        <v/>
      </c>
      <c r="C13" s="8">
        <f>IF(Applications!A7="","","Reader 2")</f>
        <v/>
      </c>
      <c r="D13" s="8" t="n"/>
      <c r="E13" s="8" t="n"/>
      <c r="F13" s="8" t="n"/>
      <c r="G13" s="8">
        <f>IF(COUNT(D13:F13)=0,"",SUM(D13:F13))</f>
        <v/>
      </c>
      <c r="H13" s="9" t="n"/>
    </row>
    <row r="14">
      <c r="A14" s="8">
        <f>IF(Applications!A8="","",Applications!A8)</f>
        <v/>
      </c>
      <c r="B14" s="8">
        <f>IF(Applications!A8="","",Applications!C8)</f>
        <v/>
      </c>
      <c r="C14" s="8">
        <f>IF(Applications!A8="","","Reader 1")</f>
        <v/>
      </c>
      <c r="D14" s="8" t="n"/>
      <c r="E14" s="8" t="n"/>
      <c r="F14" s="8" t="n"/>
      <c r="G14" s="8">
        <f>IF(COUNT(D14:F14)=0,"",SUM(D14:F14))</f>
        <v/>
      </c>
      <c r="H14" s="9" t="n"/>
    </row>
    <row r="15">
      <c r="A15" s="8">
        <f>IF(Applications!A8="","",Applications!A8)</f>
        <v/>
      </c>
      <c r="B15" s="8">
        <f>IF(Applications!A8="","",Applications!C8)</f>
        <v/>
      </c>
      <c r="C15" s="8">
        <f>IF(Applications!A8="","","Reader 2")</f>
        <v/>
      </c>
      <c r="D15" s="8" t="n"/>
      <c r="E15" s="8" t="n"/>
      <c r="F15" s="8" t="n"/>
      <c r="G15" s="8">
        <f>IF(COUNT(D15:F15)=0,"",SUM(D15:F15))</f>
        <v/>
      </c>
      <c r="H15" s="9" t="n"/>
    </row>
    <row r="16">
      <c r="A16" s="8">
        <f>IF(Applications!A9="","",Applications!A9)</f>
        <v/>
      </c>
      <c r="B16" s="8">
        <f>IF(Applications!A9="","",Applications!C9)</f>
        <v/>
      </c>
      <c r="C16" s="8">
        <f>IF(Applications!A9="","","Reader 1")</f>
        <v/>
      </c>
      <c r="D16" s="8" t="n"/>
      <c r="E16" s="8" t="n"/>
      <c r="F16" s="8" t="n"/>
      <c r="G16" s="8">
        <f>IF(COUNT(D16:F16)=0,"",SUM(D16:F16))</f>
        <v/>
      </c>
      <c r="H16" s="9" t="n"/>
    </row>
    <row r="17">
      <c r="A17" s="8">
        <f>IF(Applications!A9="","",Applications!A9)</f>
        <v/>
      </c>
      <c r="B17" s="8">
        <f>IF(Applications!A9="","",Applications!C9)</f>
        <v/>
      </c>
      <c r="C17" s="8">
        <f>IF(Applications!A9="","","Reader 2")</f>
        <v/>
      </c>
      <c r="D17" s="8" t="n"/>
      <c r="E17" s="8" t="n"/>
      <c r="F17" s="8" t="n"/>
      <c r="G17" s="8">
        <f>IF(COUNT(D17:F17)=0,"",SUM(D17:F17))</f>
        <v/>
      </c>
      <c r="H17" s="9" t="n"/>
    </row>
    <row r="18">
      <c r="A18" s="8">
        <f>IF(Applications!A10="","",Applications!A10)</f>
        <v/>
      </c>
      <c r="B18" s="8">
        <f>IF(Applications!A10="","",Applications!C10)</f>
        <v/>
      </c>
      <c r="C18" s="8">
        <f>IF(Applications!A10="","","Reader 1")</f>
        <v/>
      </c>
      <c r="D18" s="8" t="n"/>
      <c r="E18" s="8" t="n"/>
      <c r="F18" s="8" t="n"/>
      <c r="G18" s="8">
        <f>IF(COUNT(D18:F18)=0,"",SUM(D18:F18))</f>
        <v/>
      </c>
      <c r="H18" s="9" t="n"/>
    </row>
    <row r="19">
      <c r="A19" s="8">
        <f>IF(Applications!A10="","",Applications!A10)</f>
        <v/>
      </c>
      <c r="B19" s="8">
        <f>IF(Applications!A10="","",Applications!C10)</f>
        <v/>
      </c>
      <c r="C19" s="8">
        <f>IF(Applications!A10="","","Reader 2")</f>
        <v/>
      </c>
      <c r="D19" s="8" t="n"/>
      <c r="E19" s="8" t="n"/>
      <c r="F19" s="8" t="n"/>
      <c r="G19" s="8">
        <f>IF(COUNT(D19:F19)=0,"",SUM(D19:F19))</f>
        <v/>
      </c>
      <c r="H19" s="9" t="n"/>
    </row>
    <row r="20">
      <c r="A20" s="8">
        <f>IF(Applications!A11="","",Applications!A11)</f>
        <v/>
      </c>
      <c r="B20" s="8">
        <f>IF(Applications!A11="","",Applications!C11)</f>
        <v/>
      </c>
      <c r="C20" s="8">
        <f>IF(Applications!A11="","","Reader 1")</f>
        <v/>
      </c>
      <c r="D20" s="8" t="n"/>
      <c r="E20" s="8" t="n"/>
      <c r="F20" s="8" t="n"/>
      <c r="G20" s="8">
        <f>IF(COUNT(D20:F20)=0,"",SUM(D20:F20))</f>
        <v/>
      </c>
      <c r="H20" s="9" t="n"/>
    </row>
    <row r="21">
      <c r="A21" s="8">
        <f>IF(Applications!A11="","",Applications!A11)</f>
        <v/>
      </c>
      <c r="B21" s="8">
        <f>IF(Applications!A11="","",Applications!C11)</f>
        <v/>
      </c>
      <c r="C21" s="8">
        <f>IF(Applications!A11="","","Reader 2")</f>
        <v/>
      </c>
      <c r="D21" s="8" t="n"/>
      <c r="E21" s="8" t="n"/>
      <c r="F21" s="8" t="n"/>
      <c r="G21" s="8">
        <f>IF(COUNT(D21:F21)=0,"",SUM(D21:F21))</f>
        <v/>
      </c>
      <c r="H21" s="9" t="n"/>
    </row>
    <row r="22">
      <c r="A22" s="8">
        <f>IF(Applications!A12="","",Applications!A12)</f>
        <v/>
      </c>
      <c r="B22" s="8">
        <f>IF(Applications!A12="","",Applications!C12)</f>
        <v/>
      </c>
      <c r="C22" s="8">
        <f>IF(Applications!A12="","","Reader 1")</f>
        <v/>
      </c>
      <c r="D22" s="8" t="n"/>
      <c r="E22" s="8" t="n"/>
      <c r="F22" s="8" t="n"/>
      <c r="G22" s="8">
        <f>IF(COUNT(D22:F22)=0,"",SUM(D22:F22))</f>
        <v/>
      </c>
      <c r="H22" s="9" t="n"/>
    </row>
    <row r="23">
      <c r="A23" s="8">
        <f>IF(Applications!A12="","",Applications!A12)</f>
        <v/>
      </c>
      <c r="B23" s="8">
        <f>IF(Applications!A12="","",Applications!C12)</f>
        <v/>
      </c>
      <c r="C23" s="8">
        <f>IF(Applications!A12="","","Reader 2")</f>
        <v/>
      </c>
      <c r="D23" s="8" t="n"/>
      <c r="E23" s="8" t="n"/>
      <c r="F23" s="8" t="n"/>
      <c r="G23" s="8">
        <f>IF(COUNT(D23:F23)=0,"",SUM(D23:F23))</f>
        <v/>
      </c>
      <c r="H23" s="9" t="n"/>
    </row>
    <row r="24">
      <c r="A24" s="8">
        <f>IF(Applications!A13="","",Applications!A13)</f>
        <v/>
      </c>
      <c r="B24" s="8">
        <f>IF(Applications!A13="","",Applications!C13)</f>
        <v/>
      </c>
      <c r="C24" s="8">
        <f>IF(Applications!A13="","","Reader 1")</f>
        <v/>
      </c>
      <c r="D24" s="8" t="n"/>
      <c r="E24" s="8" t="n"/>
      <c r="F24" s="8" t="n"/>
      <c r="G24" s="8">
        <f>IF(COUNT(D24:F24)=0,"",SUM(D24:F24))</f>
        <v/>
      </c>
      <c r="H24" s="9" t="n"/>
    </row>
    <row r="25">
      <c r="A25" s="8">
        <f>IF(Applications!A13="","",Applications!A13)</f>
        <v/>
      </c>
      <c r="B25" s="8">
        <f>IF(Applications!A13="","",Applications!C13)</f>
        <v/>
      </c>
      <c r="C25" s="8">
        <f>IF(Applications!A13="","","Reader 2")</f>
        <v/>
      </c>
      <c r="D25" s="8" t="n"/>
      <c r="E25" s="8" t="n"/>
      <c r="F25" s="8" t="n"/>
      <c r="G25" s="8">
        <f>IF(COUNT(D25:F25)=0,"",SUM(D25:F25))</f>
        <v/>
      </c>
      <c r="H25" s="9" t="n"/>
    </row>
    <row r="26">
      <c r="A26" s="8">
        <f>IF(Applications!A14="","",Applications!A14)</f>
        <v/>
      </c>
      <c r="B26" s="8">
        <f>IF(Applications!A14="","",Applications!C14)</f>
        <v/>
      </c>
      <c r="C26" s="8">
        <f>IF(Applications!A14="","","Reader 1")</f>
        <v/>
      </c>
      <c r="D26" s="8" t="n"/>
      <c r="E26" s="8" t="n"/>
      <c r="F26" s="8" t="n"/>
      <c r="G26" s="8">
        <f>IF(COUNT(D26:F26)=0,"",SUM(D26:F26))</f>
        <v/>
      </c>
      <c r="H26" s="9" t="n"/>
    </row>
    <row r="27">
      <c r="A27" s="8">
        <f>IF(Applications!A14="","",Applications!A14)</f>
        <v/>
      </c>
      <c r="B27" s="8">
        <f>IF(Applications!A14="","",Applications!C14)</f>
        <v/>
      </c>
      <c r="C27" s="8">
        <f>IF(Applications!A14="","","Reader 2")</f>
        <v/>
      </c>
      <c r="D27" s="8" t="n"/>
      <c r="E27" s="8" t="n"/>
      <c r="F27" s="8" t="n"/>
      <c r="G27" s="8">
        <f>IF(COUNT(D27:F27)=0,"",SUM(D27:F27))</f>
        <v/>
      </c>
      <c r="H27" s="9" t="n"/>
    </row>
    <row r="28">
      <c r="A28" s="8">
        <f>IF(Applications!A15="","",Applications!A15)</f>
        <v/>
      </c>
      <c r="B28" s="8">
        <f>IF(Applications!A15="","",Applications!C15)</f>
        <v/>
      </c>
      <c r="C28" s="8">
        <f>IF(Applications!A15="","","Reader 1")</f>
        <v/>
      </c>
      <c r="D28" s="8" t="n"/>
      <c r="E28" s="8" t="n"/>
      <c r="F28" s="8" t="n"/>
      <c r="G28" s="8">
        <f>IF(COUNT(D28:F28)=0,"",SUM(D28:F28))</f>
        <v/>
      </c>
      <c r="H28" s="9" t="n"/>
    </row>
    <row r="29">
      <c r="A29" s="8">
        <f>IF(Applications!A15="","",Applications!A15)</f>
        <v/>
      </c>
      <c r="B29" s="8">
        <f>IF(Applications!A15="","",Applications!C15)</f>
        <v/>
      </c>
      <c r="C29" s="8">
        <f>IF(Applications!A15="","","Reader 2")</f>
        <v/>
      </c>
      <c r="D29" s="8" t="n"/>
      <c r="E29" s="8" t="n"/>
      <c r="F29" s="8" t="n"/>
      <c r="G29" s="8">
        <f>IF(COUNT(D29:F29)=0,"",SUM(D29:F29))</f>
        <v/>
      </c>
      <c r="H29" s="9" t="n"/>
    </row>
    <row r="30">
      <c r="A30" s="8">
        <f>IF(Applications!A16="","",Applications!A16)</f>
        <v/>
      </c>
      <c r="B30" s="8">
        <f>IF(Applications!A16="","",Applications!C16)</f>
        <v/>
      </c>
      <c r="C30" s="8">
        <f>IF(Applications!A16="","","Reader 1")</f>
        <v/>
      </c>
      <c r="D30" s="8" t="n"/>
      <c r="E30" s="8" t="n"/>
      <c r="F30" s="8" t="n"/>
      <c r="G30" s="8">
        <f>IF(COUNT(D30:F30)=0,"",SUM(D30:F30))</f>
        <v/>
      </c>
      <c r="H30" s="9" t="n"/>
    </row>
    <row r="31">
      <c r="A31" s="8">
        <f>IF(Applications!A16="","",Applications!A16)</f>
        <v/>
      </c>
      <c r="B31" s="8">
        <f>IF(Applications!A16="","",Applications!C16)</f>
        <v/>
      </c>
      <c r="C31" s="8">
        <f>IF(Applications!A16="","","Reader 2")</f>
        <v/>
      </c>
      <c r="D31" s="8" t="n"/>
      <c r="E31" s="8" t="n"/>
      <c r="F31" s="8" t="n"/>
      <c r="G31" s="8">
        <f>IF(COUNT(D31:F31)=0,"",SUM(D31:F31))</f>
        <v/>
      </c>
      <c r="H31" s="9" t="n"/>
    </row>
    <row r="32">
      <c r="A32" s="8">
        <f>IF(Applications!A17="","",Applications!A17)</f>
        <v/>
      </c>
      <c r="B32" s="8">
        <f>IF(Applications!A17="","",Applications!C17)</f>
        <v/>
      </c>
      <c r="C32" s="8">
        <f>IF(Applications!A17="","","Reader 1")</f>
        <v/>
      </c>
      <c r="D32" s="8" t="n"/>
      <c r="E32" s="8" t="n"/>
      <c r="F32" s="8" t="n"/>
      <c r="G32" s="8">
        <f>IF(COUNT(D32:F32)=0,"",SUM(D32:F32))</f>
        <v/>
      </c>
      <c r="H32" s="9" t="n"/>
    </row>
    <row r="33">
      <c r="A33" s="8">
        <f>IF(Applications!A17="","",Applications!A17)</f>
        <v/>
      </c>
      <c r="B33" s="8">
        <f>IF(Applications!A17="","",Applications!C17)</f>
        <v/>
      </c>
      <c r="C33" s="8">
        <f>IF(Applications!A17="","","Reader 2")</f>
        <v/>
      </c>
      <c r="D33" s="8" t="n"/>
      <c r="E33" s="8" t="n"/>
      <c r="F33" s="8" t="n"/>
      <c r="G33" s="8">
        <f>IF(COUNT(D33:F33)=0,"",SUM(D33:F33))</f>
        <v/>
      </c>
      <c r="H33" s="9" t="n"/>
    </row>
    <row r="34">
      <c r="A34" s="8">
        <f>IF(Applications!A18="","",Applications!A18)</f>
        <v/>
      </c>
      <c r="B34" s="8">
        <f>IF(Applications!A18="","",Applications!C18)</f>
        <v/>
      </c>
      <c r="C34" s="8">
        <f>IF(Applications!A18="","","Reader 1")</f>
        <v/>
      </c>
      <c r="D34" s="8" t="n"/>
      <c r="E34" s="8" t="n"/>
      <c r="F34" s="8" t="n"/>
      <c r="G34" s="8">
        <f>IF(COUNT(D34:F34)=0,"",SUM(D34:F34))</f>
        <v/>
      </c>
      <c r="H34" s="9" t="n"/>
    </row>
    <row r="35">
      <c r="A35" s="8">
        <f>IF(Applications!A18="","",Applications!A18)</f>
        <v/>
      </c>
      <c r="B35" s="8">
        <f>IF(Applications!A18="","",Applications!C18)</f>
        <v/>
      </c>
      <c r="C35" s="8">
        <f>IF(Applications!A18="","","Reader 2")</f>
        <v/>
      </c>
      <c r="D35" s="8" t="n"/>
      <c r="E35" s="8" t="n"/>
      <c r="F35" s="8" t="n"/>
      <c r="G35" s="8">
        <f>IF(COUNT(D35:F35)=0,"",SUM(D35:F35))</f>
        <v/>
      </c>
      <c r="H35" s="9" t="n"/>
    </row>
    <row r="36">
      <c r="A36" s="8">
        <f>IF(Applications!A19="","",Applications!A19)</f>
        <v/>
      </c>
      <c r="B36" s="8">
        <f>IF(Applications!A19="","",Applications!C19)</f>
        <v/>
      </c>
      <c r="C36" s="8">
        <f>IF(Applications!A19="","","Reader 1")</f>
        <v/>
      </c>
      <c r="D36" s="8" t="n"/>
      <c r="E36" s="8" t="n"/>
      <c r="F36" s="8" t="n"/>
      <c r="G36" s="8">
        <f>IF(COUNT(D36:F36)=0,"",SUM(D36:F36))</f>
        <v/>
      </c>
      <c r="H36" s="9" t="n"/>
    </row>
    <row r="37">
      <c r="A37" s="8">
        <f>IF(Applications!A19="","",Applications!A19)</f>
        <v/>
      </c>
      <c r="B37" s="8">
        <f>IF(Applications!A19="","",Applications!C19)</f>
        <v/>
      </c>
      <c r="C37" s="8">
        <f>IF(Applications!A19="","","Reader 2")</f>
        <v/>
      </c>
      <c r="D37" s="8" t="n"/>
      <c r="E37" s="8" t="n"/>
      <c r="F37" s="8" t="n"/>
      <c r="G37" s="8">
        <f>IF(COUNT(D37:F37)=0,"",SUM(D37:F37))</f>
        <v/>
      </c>
      <c r="H37" s="9" t="n"/>
    </row>
    <row r="38">
      <c r="A38" s="8">
        <f>IF(Applications!A20="","",Applications!A20)</f>
        <v/>
      </c>
      <c r="B38" s="8">
        <f>IF(Applications!A20="","",Applications!C20)</f>
        <v/>
      </c>
      <c r="C38" s="8">
        <f>IF(Applications!A20="","","Reader 1")</f>
        <v/>
      </c>
      <c r="D38" s="8" t="n"/>
      <c r="E38" s="8" t="n"/>
      <c r="F38" s="8" t="n"/>
      <c r="G38" s="8">
        <f>IF(COUNT(D38:F38)=0,"",SUM(D38:F38))</f>
        <v/>
      </c>
      <c r="H38" s="9" t="n"/>
    </row>
    <row r="39">
      <c r="A39" s="8">
        <f>IF(Applications!A20="","",Applications!A20)</f>
        <v/>
      </c>
      <c r="B39" s="8">
        <f>IF(Applications!A20="","",Applications!C20)</f>
        <v/>
      </c>
      <c r="C39" s="8">
        <f>IF(Applications!A20="","","Reader 2")</f>
        <v/>
      </c>
      <c r="D39" s="8" t="n"/>
      <c r="E39" s="8" t="n"/>
      <c r="F39" s="8" t="n"/>
      <c r="G39" s="8">
        <f>IF(COUNT(D39:F39)=0,"",SUM(D39:F39))</f>
        <v/>
      </c>
      <c r="H39" s="9" t="n"/>
    </row>
    <row r="40">
      <c r="A40" s="8">
        <f>IF(Applications!A21="","",Applications!A21)</f>
        <v/>
      </c>
      <c r="B40" s="8">
        <f>IF(Applications!A21="","",Applications!C21)</f>
        <v/>
      </c>
      <c r="C40" s="8">
        <f>IF(Applications!A21="","","Reader 1")</f>
        <v/>
      </c>
      <c r="D40" s="8" t="n"/>
      <c r="E40" s="8" t="n"/>
      <c r="F40" s="8" t="n"/>
      <c r="G40" s="8">
        <f>IF(COUNT(D40:F40)=0,"",SUM(D40:F40))</f>
        <v/>
      </c>
      <c r="H40" s="9" t="n"/>
    </row>
    <row r="41">
      <c r="A41" s="8">
        <f>IF(Applications!A21="","",Applications!A21)</f>
        <v/>
      </c>
      <c r="B41" s="8">
        <f>IF(Applications!A21="","",Applications!C21)</f>
        <v/>
      </c>
      <c r="C41" s="8">
        <f>IF(Applications!A21="","","Reader 2")</f>
        <v/>
      </c>
      <c r="D41" s="8" t="n"/>
      <c r="E41" s="8" t="n"/>
      <c r="F41" s="8" t="n"/>
      <c r="G41" s="8">
        <f>IF(COUNT(D41:F41)=0,"",SUM(D41:F41))</f>
        <v/>
      </c>
      <c r="H41" s="9" t="n"/>
    </row>
    <row r="42">
      <c r="A42" s="8">
        <f>IF(Applications!A22="","",Applications!A22)</f>
        <v/>
      </c>
      <c r="B42" s="8">
        <f>IF(Applications!A22="","",Applications!C22)</f>
        <v/>
      </c>
      <c r="C42" s="8">
        <f>IF(Applications!A22="","","Reader 1")</f>
        <v/>
      </c>
      <c r="D42" s="8" t="n"/>
      <c r="E42" s="8" t="n"/>
      <c r="F42" s="8" t="n"/>
      <c r="G42" s="8">
        <f>IF(COUNT(D42:F42)=0,"",SUM(D42:F42))</f>
        <v/>
      </c>
      <c r="H42" s="9" t="n"/>
    </row>
    <row r="43">
      <c r="A43" s="8">
        <f>IF(Applications!A22="","",Applications!A22)</f>
        <v/>
      </c>
      <c r="B43" s="8">
        <f>IF(Applications!A22="","",Applications!C22)</f>
        <v/>
      </c>
      <c r="C43" s="8">
        <f>IF(Applications!A22="","","Reader 2")</f>
        <v/>
      </c>
      <c r="D43" s="8" t="n"/>
      <c r="E43" s="8" t="n"/>
      <c r="F43" s="8" t="n"/>
      <c r="G43" s="8">
        <f>IF(COUNT(D43:F43)=0,"",SUM(D43:F43))</f>
        <v/>
      </c>
      <c r="H43" s="9" t="n"/>
    </row>
    <row r="44">
      <c r="A44" s="8">
        <f>IF(Applications!A23="","",Applications!A23)</f>
        <v/>
      </c>
      <c r="B44" s="8">
        <f>IF(Applications!A23="","",Applications!C23)</f>
        <v/>
      </c>
      <c r="C44" s="8">
        <f>IF(Applications!A23="","","Reader 1")</f>
        <v/>
      </c>
      <c r="D44" s="8" t="n"/>
      <c r="E44" s="8" t="n"/>
      <c r="F44" s="8" t="n"/>
      <c r="G44" s="8">
        <f>IF(COUNT(D44:F44)=0,"",SUM(D44:F44))</f>
        <v/>
      </c>
      <c r="H44" s="9" t="n"/>
    </row>
    <row r="45">
      <c r="A45" s="8">
        <f>IF(Applications!A23="","",Applications!A23)</f>
        <v/>
      </c>
      <c r="B45" s="8">
        <f>IF(Applications!A23="","",Applications!C23)</f>
        <v/>
      </c>
      <c r="C45" s="8">
        <f>IF(Applications!A23="","","Reader 2")</f>
        <v/>
      </c>
      <c r="D45" s="8" t="n"/>
      <c r="E45" s="8" t="n"/>
      <c r="F45" s="8" t="n"/>
      <c r="G45" s="8">
        <f>IF(COUNT(D45:F45)=0,"",SUM(D45:F45))</f>
        <v/>
      </c>
      <c r="H45" s="9" t="n"/>
    </row>
    <row r="46">
      <c r="A46" s="8">
        <f>IF(Applications!A24="","",Applications!A24)</f>
        <v/>
      </c>
      <c r="B46" s="8">
        <f>IF(Applications!A24="","",Applications!C24)</f>
        <v/>
      </c>
      <c r="C46" s="8">
        <f>IF(Applications!A24="","","Reader 1")</f>
        <v/>
      </c>
      <c r="D46" s="8" t="n"/>
      <c r="E46" s="8" t="n"/>
      <c r="F46" s="8" t="n"/>
      <c r="G46" s="8">
        <f>IF(COUNT(D46:F46)=0,"",SUM(D46:F46))</f>
        <v/>
      </c>
      <c r="H46" s="9" t="n"/>
    </row>
    <row r="47">
      <c r="A47" s="8">
        <f>IF(Applications!A24="","",Applications!A24)</f>
        <v/>
      </c>
      <c r="B47" s="8">
        <f>IF(Applications!A24="","",Applications!C24)</f>
        <v/>
      </c>
      <c r="C47" s="8">
        <f>IF(Applications!A24="","","Reader 2")</f>
        <v/>
      </c>
      <c r="D47" s="8" t="n"/>
      <c r="E47" s="8" t="n"/>
      <c r="F47" s="8" t="n"/>
      <c r="G47" s="8">
        <f>IF(COUNT(D47:F47)=0,"",SUM(D47:F47))</f>
        <v/>
      </c>
      <c r="H47" s="9" t="n"/>
    </row>
    <row r="48">
      <c r="A48" s="8">
        <f>IF(Applications!A25="","",Applications!A25)</f>
        <v/>
      </c>
      <c r="B48" s="8">
        <f>IF(Applications!A25="","",Applications!C25)</f>
        <v/>
      </c>
      <c r="C48" s="8">
        <f>IF(Applications!A25="","","Reader 1")</f>
        <v/>
      </c>
      <c r="D48" s="8" t="n"/>
      <c r="E48" s="8" t="n"/>
      <c r="F48" s="8" t="n"/>
      <c r="G48" s="8">
        <f>IF(COUNT(D48:F48)=0,"",SUM(D48:F48))</f>
        <v/>
      </c>
      <c r="H48" s="9" t="n"/>
    </row>
    <row r="49">
      <c r="A49" s="8">
        <f>IF(Applications!A25="","",Applications!A25)</f>
        <v/>
      </c>
      <c r="B49" s="8">
        <f>IF(Applications!A25="","",Applications!C25)</f>
        <v/>
      </c>
      <c r="C49" s="8">
        <f>IF(Applications!A25="","","Reader 2")</f>
        <v/>
      </c>
      <c r="D49" s="8" t="n"/>
      <c r="E49" s="8" t="n"/>
      <c r="F49" s="8" t="n"/>
      <c r="G49" s="8">
        <f>IF(COUNT(D49:F49)=0,"",SUM(D49:F49))</f>
        <v/>
      </c>
      <c r="H49" s="9" t="n"/>
    </row>
    <row r="50">
      <c r="A50" s="8">
        <f>IF(Applications!A26="","",Applications!A26)</f>
        <v/>
      </c>
      <c r="B50" s="8">
        <f>IF(Applications!A26="","",Applications!C26)</f>
        <v/>
      </c>
      <c r="C50" s="8">
        <f>IF(Applications!A26="","","Reader 1")</f>
        <v/>
      </c>
      <c r="D50" s="8" t="n"/>
      <c r="E50" s="8" t="n"/>
      <c r="F50" s="8" t="n"/>
      <c r="G50" s="8">
        <f>IF(COUNT(D50:F50)=0,"",SUM(D50:F50))</f>
        <v/>
      </c>
      <c r="H50" s="9" t="n"/>
    </row>
    <row r="51">
      <c r="A51" s="8">
        <f>IF(Applications!A26="","",Applications!A26)</f>
        <v/>
      </c>
      <c r="B51" s="8">
        <f>IF(Applications!A26="","",Applications!C26)</f>
        <v/>
      </c>
      <c r="C51" s="8">
        <f>IF(Applications!A26="","","Reader 2")</f>
        <v/>
      </c>
      <c r="D51" s="8" t="n"/>
      <c r="E51" s="8" t="n"/>
      <c r="F51" s="8" t="n"/>
      <c r="G51" s="8">
        <f>IF(COUNT(D51:F51)=0,"",SUM(D51:F51))</f>
        <v/>
      </c>
      <c r="H51" s="9" t="n"/>
    </row>
    <row r="52">
      <c r="A52" s="8">
        <f>IF(Applications!A27="","",Applications!A27)</f>
        <v/>
      </c>
      <c r="B52" s="8">
        <f>IF(Applications!A27="","",Applications!C27)</f>
        <v/>
      </c>
      <c r="C52" s="8">
        <f>IF(Applications!A27="","","Reader 1")</f>
        <v/>
      </c>
      <c r="D52" s="8" t="n"/>
      <c r="E52" s="8" t="n"/>
      <c r="F52" s="8" t="n"/>
      <c r="G52" s="8">
        <f>IF(COUNT(D52:F52)=0,"",SUM(D52:F52))</f>
        <v/>
      </c>
      <c r="H52" s="9" t="n"/>
    </row>
    <row r="53">
      <c r="A53" s="8">
        <f>IF(Applications!A27="","",Applications!A27)</f>
        <v/>
      </c>
      <c r="B53" s="8">
        <f>IF(Applications!A27="","",Applications!C27)</f>
        <v/>
      </c>
      <c r="C53" s="8">
        <f>IF(Applications!A27="","","Reader 2")</f>
        <v/>
      </c>
      <c r="D53" s="8" t="n"/>
      <c r="E53" s="8" t="n"/>
      <c r="F53" s="8" t="n"/>
      <c r="G53" s="8">
        <f>IF(COUNT(D53:F53)=0,"",SUM(D53:F53))</f>
        <v/>
      </c>
      <c r="H53" s="9" t="n"/>
    </row>
    <row r="54">
      <c r="A54" s="8">
        <f>IF(Applications!A28="","",Applications!A28)</f>
        <v/>
      </c>
      <c r="B54" s="8">
        <f>IF(Applications!A28="","",Applications!C28)</f>
        <v/>
      </c>
      <c r="C54" s="8">
        <f>IF(Applications!A28="","","Reader 1")</f>
        <v/>
      </c>
      <c r="D54" s="8" t="n"/>
      <c r="E54" s="8" t="n"/>
      <c r="F54" s="8" t="n"/>
      <c r="G54" s="8">
        <f>IF(COUNT(D54:F54)=0,"",SUM(D54:F54))</f>
        <v/>
      </c>
      <c r="H54" s="9" t="n"/>
    </row>
    <row r="55">
      <c r="A55" s="8">
        <f>IF(Applications!A28="","",Applications!A28)</f>
        <v/>
      </c>
      <c r="B55" s="8">
        <f>IF(Applications!A28="","",Applications!C28)</f>
        <v/>
      </c>
      <c r="C55" s="8">
        <f>IF(Applications!A28="","","Reader 2")</f>
        <v/>
      </c>
      <c r="D55" s="8" t="n"/>
      <c r="E55" s="8" t="n"/>
      <c r="F55" s="8" t="n"/>
      <c r="G55" s="8">
        <f>IF(COUNT(D55:F55)=0,"",SUM(D55:F55))</f>
        <v/>
      </c>
      <c r="H55" s="9" t="n"/>
    </row>
    <row r="56">
      <c r="A56" s="8">
        <f>IF(Applications!A29="","",Applications!A29)</f>
        <v/>
      </c>
      <c r="B56" s="8">
        <f>IF(Applications!A29="","",Applications!C29)</f>
        <v/>
      </c>
      <c r="C56" s="8">
        <f>IF(Applications!A29="","","Reader 1")</f>
        <v/>
      </c>
      <c r="D56" s="8" t="n"/>
      <c r="E56" s="8" t="n"/>
      <c r="F56" s="8" t="n"/>
      <c r="G56" s="8">
        <f>IF(COUNT(D56:F56)=0,"",SUM(D56:F56))</f>
        <v/>
      </c>
      <c r="H56" s="9" t="n"/>
    </row>
    <row r="57">
      <c r="A57" s="8">
        <f>IF(Applications!A29="","",Applications!A29)</f>
        <v/>
      </c>
      <c r="B57" s="8">
        <f>IF(Applications!A29="","",Applications!C29)</f>
        <v/>
      </c>
      <c r="C57" s="8">
        <f>IF(Applications!A29="","","Reader 2")</f>
        <v/>
      </c>
      <c r="D57" s="8" t="n"/>
      <c r="E57" s="8" t="n"/>
      <c r="F57" s="8" t="n"/>
      <c r="G57" s="8">
        <f>IF(COUNT(D57:F57)=0,"",SUM(D57:F57))</f>
        <v/>
      </c>
      <c r="H57" s="9" t="n"/>
    </row>
    <row r="58">
      <c r="A58" s="8">
        <f>IF(Applications!A30="","",Applications!A30)</f>
        <v/>
      </c>
      <c r="B58" s="8">
        <f>IF(Applications!A30="","",Applications!C30)</f>
        <v/>
      </c>
      <c r="C58" s="8">
        <f>IF(Applications!A30="","","Reader 1")</f>
        <v/>
      </c>
      <c r="D58" s="8" t="n"/>
      <c r="E58" s="8" t="n"/>
      <c r="F58" s="8" t="n"/>
      <c r="G58" s="8">
        <f>IF(COUNT(D58:F58)=0,"",SUM(D58:F58))</f>
        <v/>
      </c>
      <c r="H58" s="9" t="n"/>
    </row>
    <row r="59">
      <c r="A59" s="8">
        <f>IF(Applications!A30="","",Applications!A30)</f>
        <v/>
      </c>
      <c r="B59" s="8">
        <f>IF(Applications!A30="","",Applications!C30)</f>
        <v/>
      </c>
      <c r="C59" s="8">
        <f>IF(Applications!A30="","","Reader 2")</f>
        <v/>
      </c>
      <c r="D59" s="8" t="n"/>
      <c r="E59" s="8" t="n"/>
      <c r="F59" s="8" t="n"/>
      <c r="G59" s="8">
        <f>IF(COUNT(D59:F59)=0,"",SUM(D59:F59))</f>
        <v/>
      </c>
      <c r="H59" s="9" t="n"/>
    </row>
    <row r="60">
      <c r="A60" s="8">
        <f>IF(Applications!A31="","",Applications!A31)</f>
        <v/>
      </c>
      <c r="B60" s="8">
        <f>IF(Applications!A31="","",Applications!C31)</f>
        <v/>
      </c>
      <c r="C60" s="8">
        <f>IF(Applications!A31="","","Reader 1")</f>
        <v/>
      </c>
      <c r="D60" s="8" t="n"/>
      <c r="E60" s="8" t="n"/>
      <c r="F60" s="8" t="n"/>
      <c r="G60" s="8">
        <f>IF(COUNT(D60:F60)=0,"",SUM(D60:F60))</f>
        <v/>
      </c>
      <c r="H60" s="9" t="n"/>
    </row>
    <row r="61">
      <c r="A61" s="8">
        <f>IF(Applications!A31="","",Applications!A31)</f>
        <v/>
      </c>
      <c r="B61" s="8">
        <f>IF(Applications!A31="","",Applications!C31)</f>
        <v/>
      </c>
      <c r="C61" s="8">
        <f>IF(Applications!A31="","","Reader 2")</f>
        <v/>
      </c>
      <c r="D61" s="8" t="n"/>
      <c r="E61" s="8" t="n"/>
      <c r="F61" s="8" t="n"/>
      <c r="G61" s="8">
        <f>IF(COUNT(D61:F61)=0,"",SUM(D61:F61))</f>
        <v/>
      </c>
      <c r="H61" s="9" t="n"/>
    </row>
    <row r="62">
      <c r="A62" s="8">
        <f>IF(Applications!A32="","",Applications!A32)</f>
        <v/>
      </c>
      <c r="B62" s="8">
        <f>IF(Applications!A32="","",Applications!C32)</f>
        <v/>
      </c>
      <c r="C62" s="8">
        <f>IF(Applications!A32="","","Reader 1")</f>
        <v/>
      </c>
      <c r="D62" s="8" t="n"/>
      <c r="E62" s="8" t="n"/>
      <c r="F62" s="8" t="n"/>
      <c r="G62" s="8">
        <f>IF(COUNT(D62:F62)=0,"",SUM(D62:F62))</f>
        <v/>
      </c>
      <c r="H62" s="9" t="n"/>
    </row>
    <row r="63">
      <c r="A63" s="8">
        <f>IF(Applications!A32="","",Applications!A32)</f>
        <v/>
      </c>
      <c r="B63" s="8">
        <f>IF(Applications!A32="","",Applications!C32)</f>
        <v/>
      </c>
      <c r="C63" s="8">
        <f>IF(Applications!A32="","","Reader 2")</f>
        <v/>
      </c>
      <c r="D63" s="8" t="n"/>
      <c r="E63" s="8" t="n"/>
      <c r="F63" s="8" t="n"/>
      <c r="G63" s="8">
        <f>IF(COUNT(D63:F63)=0,"",SUM(D63:F63))</f>
        <v/>
      </c>
      <c r="H63" s="9" t="n"/>
    </row>
    <row r="64">
      <c r="A64" s="8">
        <f>IF(Applications!A33="","",Applications!A33)</f>
        <v/>
      </c>
      <c r="B64" s="8">
        <f>IF(Applications!A33="","",Applications!C33)</f>
        <v/>
      </c>
      <c r="C64" s="8">
        <f>IF(Applications!A33="","","Reader 1")</f>
        <v/>
      </c>
      <c r="D64" s="8" t="n"/>
      <c r="E64" s="8" t="n"/>
      <c r="F64" s="8" t="n"/>
      <c r="G64" s="8">
        <f>IF(COUNT(D64:F64)=0,"",SUM(D64:F64))</f>
        <v/>
      </c>
      <c r="H64" s="9" t="n"/>
    </row>
    <row r="65">
      <c r="A65" s="8">
        <f>IF(Applications!A33="","",Applications!A33)</f>
        <v/>
      </c>
      <c r="B65" s="8">
        <f>IF(Applications!A33="","",Applications!C33)</f>
        <v/>
      </c>
      <c r="C65" s="8">
        <f>IF(Applications!A33="","","Reader 2")</f>
        <v/>
      </c>
      <c r="D65" s="8" t="n"/>
      <c r="E65" s="8" t="n"/>
      <c r="F65" s="8" t="n"/>
      <c r="G65" s="8">
        <f>IF(COUNT(D65:F65)=0,"",SUM(D65:F65))</f>
        <v/>
      </c>
      <c r="H65" s="9" t="n"/>
    </row>
    <row r="66">
      <c r="A66" s="8">
        <f>IF(Applications!A34="","",Applications!A34)</f>
        <v/>
      </c>
      <c r="B66" s="8">
        <f>IF(Applications!A34="","",Applications!C34)</f>
        <v/>
      </c>
      <c r="C66" s="8">
        <f>IF(Applications!A34="","","Reader 1")</f>
        <v/>
      </c>
      <c r="D66" s="8" t="n"/>
      <c r="E66" s="8" t="n"/>
      <c r="F66" s="8" t="n"/>
      <c r="G66" s="8">
        <f>IF(COUNT(D66:F66)=0,"",SUM(D66:F66))</f>
        <v/>
      </c>
      <c r="H66" s="9" t="n"/>
    </row>
    <row r="67">
      <c r="A67" s="8">
        <f>IF(Applications!A34="","",Applications!A34)</f>
        <v/>
      </c>
      <c r="B67" s="8">
        <f>IF(Applications!A34="","",Applications!C34)</f>
        <v/>
      </c>
      <c r="C67" s="8">
        <f>IF(Applications!A34="","","Reader 2")</f>
        <v/>
      </c>
      <c r="D67" s="8" t="n"/>
      <c r="E67" s="8" t="n"/>
      <c r="F67" s="8" t="n"/>
      <c r="G67" s="8">
        <f>IF(COUNT(D67:F67)=0,"",SUM(D67:F67))</f>
        <v/>
      </c>
      <c r="H67" s="9" t="n"/>
    </row>
    <row r="68">
      <c r="A68" s="8">
        <f>IF(Applications!A35="","",Applications!A35)</f>
        <v/>
      </c>
      <c r="B68" s="8">
        <f>IF(Applications!A35="","",Applications!C35)</f>
        <v/>
      </c>
      <c r="C68" s="8">
        <f>IF(Applications!A35="","","Reader 1")</f>
        <v/>
      </c>
      <c r="D68" s="8" t="n"/>
      <c r="E68" s="8" t="n"/>
      <c r="F68" s="8" t="n"/>
      <c r="G68" s="8">
        <f>IF(COUNT(D68:F68)=0,"",SUM(D68:F68))</f>
        <v/>
      </c>
      <c r="H68" s="9" t="n"/>
    </row>
    <row r="69">
      <c r="A69" s="8">
        <f>IF(Applications!A35="","",Applications!A35)</f>
        <v/>
      </c>
      <c r="B69" s="8">
        <f>IF(Applications!A35="","",Applications!C35)</f>
        <v/>
      </c>
      <c r="C69" s="8">
        <f>IF(Applications!A35="","","Reader 2")</f>
        <v/>
      </c>
      <c r="D69" s="8" t="n"/>
      <c r="E69" s="8" t="n"/>
      <c r="F69" s="8" t="n"/>
      <c r="G69" s="8">
        <f>IF(COUNT(D69:F69)=0,"",SUM(D69:F69))</f>
        <v/>
      </c>
      <c r="H69" s="9" t="n"/>
    </row>
    <row r="70">
      <c r="A70" s="8">
        <f>IF(Applications!A36="","",Applications!A36)</f>
        <v/>
      </c>
      <c r="B70" s="8">
        <f>IF(Applications!A36="","",Applications!C36)</f>
        <v/>
      </c>
      <c r="C70" s="8">
        <f>IF(Applications!A36="","","Reader 1")</f>
        <v/>
      </c>
      <c r="D70" s="8" t="n"/>
      <c r="E70" s="8" t="n"/>
      <c r="F70" s="8" t="n"/>
      <c r="G70" s="8">
        <f>IF(COUNT(D70:F70)=0,"",SUM(D70:F70))</f>
        <v/>
      </c>
      <c r="H70" s="9" t="n"/>
    </row>
    <row r="71">
      <c r="A71" s="8">
        <f>IF(Applications!A36="","",Applications!A36)</f>
        <v/>
      </c>
      <c r="B71" s="8">
        <f>IF(Applications!A36="","",Applications!C36)</f>
        <v/>
      </c>
      <c r="C71" s="8">
        <f>IF(Applications!A36="","","Reader 2")</f>
        <v/>
      </c>
      <c r="D71" s="8" t="n"/>
      <c r="E71" s="8" t="n"/>
      <c r="F71" s="8" t="n"/>
      <c r="G71" s="8">
        <f>IF(COUNT(D71:F71)=0,"",SUM(D71:F71))</f>
        <v/>
      </c>
      <c r="H71" s="9" t="n"/>
    </row>
    <row r="72">
      <c r="A72" s="8">
        <f>IF(Applications!A37="","",Applications!A37)</f>
        <v/>
      </c>
      <c r="B72" s="8">
        <f>IF(Applications!A37="","",Applications!C37)</f>
        <v/>
      </c>
      <c r="C72" s="8">
        <f>IF(Applications!A37="","","Reader 1")</f>
        <v/>
      </c>
      <c r="D72" s="8" t="n"/>
      <c r="E72" s="8" t="n"/>
      <c r="F72" s="8" t="n"/>
      <c r="G72" s="8">
        <f>IF(COUNT(D72:F72)=0,"",SUM(D72:F72))</f>
        <v/>
      </c>
      <c r="H72" s="9" t="n"/>
    </row>
    <row r="73">
      <c r="A73" s="8">
        <f>IF(Applications!A37="","",Applications!A37)</f>
        <v/>
      </c>
      <c r="B73" s="8">
        <f>IF(Applications!A37="","",Applications!C37)</f>
        <v/>
      </c>
      <c r="C73" s="8">
        <f>IF(Applications!A37="","","Reader 2")</f>
        <v/>
      </c>
      <c r="D73" s="8" t="n"/>
      <c r="E73" s="8" t="n"/>
      <c r="F73" s="8" t="n"/>
      <c r="G73" s="8">
        <f>IF(COUNT(D73:F73)=0,"",SUM(D73:F73))</f>
        <v/>
      </c>
      <c r="H73" s="9" t="n"/>
    </row>
    <row r="74">
      <c r="A74" s="8">
        <f>IF(Applications!A38="","",Applications!A38)</f>
        <v/>
      </c>
      <c r="B74" s="8">
        <f>IF(Applications!A38="","",Applications!C38)</f>
        <v/>
      </c>
      <c r="C74" s="8">
        <f>IF(Applications!A38="","","Reader 1")</f>
        <v/>
      </c>
      <c r="D74" s="8" t="n"/>
      <c r="E74" s="8" t="n"/>
      <c r="F74" s="8" t="n"/>
      <c r="G74" s="8">
        <f>IF(COUNT(D74:F74)=0,"",SUM(D74:F74))</f>
        <v/>
      </c>
      <c r="H74" s="9" t="n"/>
    </row>
    <row r="75">
      <c r="A75" s="8">
        <f>IF(Applications!A38="","",Applications!A38)</f>
        <v/>
      </c>
      <c r="B75" s="8">
        <f>IF(Applications!A38="","",Applications!C38)</f>
        <v/>
      </c>
      <c r="C75" s="8">
        <f>IF(Applications!A38="","","Reader 2")</f>
        <v/>
      </c>
      <c r="D75" s="8" t="n"/>
      <c r="E75" s="8" t="n"/>
      <c r="F75" s="8" t="n"/>
      <c r="G75" s="8">
        <f>IF(COUNT(D75:F75)=0,"",SUM(D75:F75))</f>
        <v/>
      </c>
      <c r="H75" s="9" t="n"/>
    </row>
    <row r="76">
      <c r="A76" s="8">
        <f>IF(Applications!A39="","",Applications!A39)</f>
        <v/>
      </c>
      <c r="B76" s="8">
        <f>IF(Applications!A39="","",Applications!C39)</f>
        <v/>
      </c>
      <c r="C76" s="8">
        <f>IF(Applications!A39="","","Reader 1")</f>
        <v/>
      </c>
      <c r="D76" s="8" t="n"/>
      <c r="E76" s="8" t="n"/>
      <c r="F76" s="8" t="n"/>
      <c r="G76" s="8">
        <f>IF(COUNT(D76:F76)=0,"",SUM(D76:F76))</f>
        <v/>
      </c>
      <c r="H76" s="9" t="n"/>
    </row>
    <row r="77">
      <c r="A77" s="8">
        <f>IF(Applications!A39="","",Applications!A39)</f>
        <v/>
      </c>
      <c r="B77" s="8">
        <f>IF(Applications!A39="","",Applications!C39)</f>
        <v/>
      </c>
      <c r="C77" s="8">
        <f>IF(Applications!A39="","","Reader 2")</f>
        <v/>
      </c>
      <c r="D77" s="8" t="n"/>
      <c r="E77" s="8" t="n"/>
      <c r="F77" s="8" t="n"/>
      <c r="G77" s="8">
        <f>IF(COUNT(D77:F77)=0,"",SUM(D77:F77))</f>
        <v/>
      </c>
      <c r="H77" s="9" t="n"/>
    </row>
    <row r="78">
      <c r="A78" s="8">
        <f>IF(Applications!A40="","",Applications!A40)</f>
        <v/>
      </c>
      <c r="B78" s="8">
        <f>IF(Applications!A40="","",Applications!C40)</f>
        <v/>
      </c>
      <c r="C78" s="8">
        <f>IF(Applications!A40="","","Reader 1")</f>
        <v/>
      </c>
      <c r="D78" s="8" t="n"/>
      <c r="E78" s="8" t="n"/>
      <c r="F78" s="8" t="n"/>
      <c r="G78" s="8">
        <f>IF(COUNT(D78:F78)=0,"",SUM(D78:F78))</f>
        <v/>
      </c>
      <c r="H78" s="9" t="n"/>
    </row>
    <row r="79">
      <c r="A79" s="8">
        <f>IF(Applications!A40="","",Applications!A40)</f>
        <v/>
      </c>
      <c r="B79" s="8">
        <f>IF(Applications!A40="","",Applications!C40)</f>
        <v/>
      </c>
      <c r="C79" s="8">
        <f>IF(Applications!A40="","","Reader 2")</f>
        <v/>
      </c>
      <c r="D79" s="8" t="n"/>
      <c r="E79" s="8" t="n"/>
      <c r="F79" s="8" t="n"/>
      <c r="G79" s="8">
        <f>IF(COUNT(D79:F79)=0,"",SUM(D79:F79))</f>
        <v/>
      </c>
      <c r="H79" s="9" t="n"/>
    </row>
    <row r="80">
      <c r="A80" s="8">
        <f>IF(Applications!A41="","",Applications!A41)</f>
        <v/>
      </c>
      <c r="B80" s="8">
        <f>IF(Applications!A41="","",Applications!C41)</f>
        <v/>
      </c>
      <c r="C80" s="8">
        <f>IF(Applications!A41="","","Reader 1")</f>
        <v/>
      </c>
      <c r="D80" s="8" t="n"/>
      <c r="E80" s="8" t="n"/>
      <c r="F80" s="8" t="n"/>
      <c r="G80" s="8">
        <f>IF(COUNT(D80:F80)=0,"",SUM(D80:F80))</f>
        <v/>
      </c>
      <c r="H80" s="9" t="n"/>
    </row>
    <row r="81">
      <c r="A81" s="8">
        <f>IF(Applications!A41="","",Applications!A41)</f>
        <v/>
      </c>
      <c r="B81" s="8">
        <f>IF(Applications!A41="","",Applications!C41)</f>
        <v/>
      </c>
      <c r="C81" s="8">
        <f>IF(Applications!A41="","","Reader 2")</f>
        <v/>
      </c>
      <c r="D81" s="8" t="n"/>
      <c r="E81" s="8" t="n"/>
      <c r="F81" s="8" t="n"/>
      <c r="G81" s="8">
        <f>IF(COUNT(D81:F81)=0,"",SUM(D81:F81))</f>
        <v/>
      </c>
      <c r="H81" s="9" t="n"/>
    </row>
    <row r="82">
      <c r="A82" s="8">
        <f>IF(Applications!A42="","",Applications!A42)</f>
        <v/>
      </c>
      <c r="B82" s="8">
        <f>IF(Applications!A42="","",Applications!C42)</f>
        <v/>
      </c>
      <c r="C82" s="8">
        <f>IF(Applications!A42="","","Reader 1")</f>
        <v/>
      </c>
      <c r="D82" s="8" t="n"/>
      <c r="E82" s="8" t="n"/>
      <c r="F82" s="8" t="n"/>
      <c r="G82" s="8">
        <f>IF(COUNT(D82:F82)=0,"",SUM(D82:F82))</f>
        <v/>
      </c>
      <c r="H82" s="9" t="n"/>
    </row>
    <row r="83">
      <c r="A83" s="8">
        <f>IF(Applications!A42="","",Applications!A42)</f>
        <v/>
      </c>
      <c r="B83" s="8">
        <f>IF(Applications!A42="","",Applications!C42)</f>
        <v/>
      </c>
      <c r="C83" s="8">
        <f>IF(Applications!A42="","","Reader 2")</f>
        <v/>
      </c>
      <c r="D83" s="8" t="n"/>
      <c r="E83" s="8" t="n"/>
      <c r="F83" s="8" t="n"/>
      <c r="G83" s="8">
        <f>IF(COUNT(D83:F83)=0,"",SUM(D83:F83))</f>
        <v/>
      </c>
      <c r="H83" s="9" t="n"/>
    </row>
    <row r="84">
      <c r="A84" s="8">
        <f>IF(Applications!A43="","",Applications!A43)</f>
        <v/>
      </c>
      <c r="B84" s="8">
        <f>IF(Applications!A43="","",Applications!C43)</f>
        <v/>
      </c>
      <c r="C84" s="8">
        <f>IF(Applications!A43="","","Reader 1")</f>
        <v/>
      </c>
      <c r="D84" s="8" t="n"/>
      <c r="E84" s="8" t="n"/>
      <c r="F84" s="8" t="n"/>
      <c r="G84" s="8">
        <f>IF(COUNT(D84:F84)=0,"",SUM(D84:F84))</f>
        <v/>
      </c>
      <c r="H84" s="9" t="n"/>
    </row>
    <row r="85">
      <c r="A85" s="8">
        <f>IF(Applications!A43="","",Applications!A43)</f>
        <v/>
      </c>
      <c r="B85" s="8">
        <f>IF(Applications!A43="","",Applications!C43)</f>
        <v/>
      </c>
      <c r="C85" s="8">
        <f>IF(Applications!A43="","","Reader 2")</f>
        <v/>
      </c>
      <c r="D85" s="8" t="n"/>
      <c r="E85" s="8" t="n"/>
      <c r="F85" s="8" t="n"/>
      <c r="G85" s="8">
        <f>IF(COUNT(D85:F85)=0,"",SUM(D85:F85))</f>
        <v/>
      </c>
      <c r="H85" s="9" t="n"/>
    </row>
    <row r="86">
      <c r="A86" s="8">
        <f>IF(Applications!A44="","",Applications!A44)</f>
        <v/>
      </c>
      <c r="B86" s="8">
        <f>IF(Applications!A44="","",Applications!C44)</f>
        <v/>
      </c>
      <c r="C86" s="8">
        <f>IF(Applications!A44="","","Reader 1")</f>
        <v/>
      </c>
      <c r="D86" s="8" t="n"/>
      <c r="E86" s="8" t="n"/>
      <c r="F86" s="8" t="n"/>
      <c r="G86" s="8">
        <f>IF(COUNT(D86:F86)=0,"",SUM(D86:F86))</f>
        <v/>
      </c>
      <c r="H86" s="9" t="n"/>
    </row>
    <row r="87">
      <c r="A87" s="8">
        <f>IF(Applications!A44="","",Applications!A44)</f>
        <v/>
      </c>
      <c r="B87" s="8">
        <f>IF(Applications!A44="","",Applications!C44)</f>
        <v/>
      </c>
      <c r="C87" s="8">
        <f>IF(Applications!A44="","","Reader 2")</f>
        <v/>
      </c>
      <c r="D87" s="8" t="n"/>
      <c r="E87" s="8" t="n"/>
      <c r="F87" s="8" t="n"/>
      <c r="G87" s="8">
        <f>IF(COUNT(D87:F87)=0,"",SUM(D87:F87))</f>
        <v/>
      </c>
      <c r="H87" s="9" t="n"/>
    </row>
    <row r="88">
      <c r="A88" s="8">
        <f>IF(Applications!A45="","",Applications!A45)</f>
        <v/>
      </c>
      <c r="B88" s="8">
        <f>IF(Applications!A45="","",Applications!C45)</f>
        <v/>
      </c>
      <c r="C88" s="8">
        <f>IF(Applications!A45="","","Reader 1")</f>
        <v/>
      </c>
      <c r="D88" s="8" t="n"/>
      <c r="E88" s="8" t="n"/>
      <c r="F88" s="8" t="n"/>
      <c r="G88" s="8">
        <f>IF(COUNT(D88:F88)=0,"",SUM(D88:F88))</f>
        <v/>
      </c>
      <c r="H88" s="9" t="n"/>
    </row>
    <row r="89">
      <c r="A89" s="8">
        <f>IF(Applications!A45="","",Applications!A45)</f>
        <v/>
      </c>
      <c r="B89" s="8">
        <f>IF(Applications!A45="","",Applications!C45)</f>
        <v/>
      </c>
      <c r="C89" s="8">
        <f>IF(Applications!A45="","","Reader 2")</f>
        <v/>
      </c>
      <c r="D89" s="8" t="n"/>
      <c r="E89" s="8" t="n"/>
      <c r="F89" s="8" t="n"/>
      <c r="G89" s="8">
        <f>IF(COUNT(D89:F89)=0,"",SUM(D89:F89))</f>
        <v/>
      </c>
      <c r="H89" s="9" t="n"/>
    </row>
    <row r="90">
      <c r="A90" s="8">
        <f>IF(Applications!A46="","",Applications!A46)</f>
        <v/>
      </c>
      <c r="B90" s="8">
        <f>IF(Applications!A46="","",Applications!C46)</f>
        <v/>
      </c>
      <c r="C90" s="8">
        <f>IF(Applications!A46="","","Reader 1")</f>
        <v/>
      </c>
      <c r="D90" s="8" t="n"/>
      <c r="E90" s="8" t="n"/>
      <c r="F90" s="8" t="n"/>
      <c r="G90" s="8">
        <f>IF(COUNT(D90:F90)=0,"",SUM(D90:F90))</f>
        <v/>
      </c>
      <c r="H90" s="9" t="n"/>
    </row>
    <row r="91">
      <c r="A91" s="8">
        <f>IF(Applications!A46="","",Applications!A46)</f>
        <v/>
      </c>
      <c r="B91" s="8">
        <f>IF(Applications!A46="","",Applications!C46)</f>
        <v/>
      </c>
      <c r="C91" s="8">
        <f>IF(Applications!A46="","","Reader 2")</f>
        <v/>
      </c>
      <c r="D91" s="8" t="n"/>
      <c r="E91" s="8" t="n"/>
      <c r="F91" s="8" t="n"/>
      <c r="G91" s="8">
        <f>IF(COUNT(D91:F91)=0,"",SUM(D91:F91))</f>
        <v/>
      </c>
      <c r="H91" s="9" t="n"/>
    </row>
    <row r="92">
      <c r="A92" s="8">
        <f>IF(Applications!A47="","",Applications!A47)</f>
        <v/>
      </c>
      <c r="B92" s="8">
        <f>IF(Applications!A47="","",Applications!C47)</f>
        <v/>
      </c>
      <c r="C92" s="8">
        <f>IF(Applications!A47="","","Reader 1")</f>
        <v/>
      </c>
      <c r="D92" s="8" t="n"/>
      <c r="E92" s="8" t="n"/>
      <c r="F92" s="8" t="n"/>
      <c r="G92" s="8">
        <f>IF(COUNT(D92:F92)=0,"",SUM(D92:F92))</f>
        <v/>
      </c>
      <c r="H92" s="9" t="n"/>
    </row>
    <row r="93">
      <c r="A93" s="8">
        <f>IF(Applications!A47="","",Applications!A47)</f>
        <v/>
      </c>
      <c r="B93" s="8">
        <f>IF(Applications!A47="","",Applications!C47)</f>
        <v/>
      </c>
      <c r="C93" s="8">
        <f>IF(Applications!A47="","","Reader 2")</f>
        <v/>
      </c>
      <c r="D93" s="8" t="n"/>
      <c r="E93" s="8" t="n"/>
      <c r="F93" s="8" t="n"/>
      <c r="G93" s="8">
        <f>IF(COUNT(D93:F93)=0,"",SUM(D93:F93))</f>
        <v/>
      </c>
      <c r="H93" s="9" t="n"/>
    </row>
    <row r="94">
      <c r="A94" s="8">
        <f>IF(Applications!A48="","",Applications!A48)</f>
        <v/>
      </c>
      <c r="B94" s="8">
        <f>IF(Applications!A48="","",Applications!C48)</f>
        <v/>
      </c>
      <c r="C94" s="8">
        <f>IF(Applications!A48="","","Reader 1")</f>
        <v/>
      </c>
      <c r="D94" s="8" t="n"/>
      <c r="E94" s="8" t="n"/>
      <c r="F94" s="8" t="n"/>
      <c r="G94" s="8">
        <f>IF(COUNT(D94:F94)=0,"",SUM(D94:F94))</f>
        <v/>
      </c>
      <c r="H94" s="9" t="n"/>
    </row>
    <row r="95">
      <c r="A95" s="8">
        <f>IF(Applications!A48="","",Applications!A48)</f>
        <v/>
      </c>
      <c r="B95" s="8">
        <f>IF(Applications!A48="","",Applications!C48)</f>
        <v/>
      </c>
      <c r="C95" s="8">
        <f>IF(Applications!A48="","","Reader 2")</f>
        <v/>
      </c>
      <c r="D95" s="8" t="n"/>
      <c r="E95" s="8" t="n"/>
      <c r="F95" s="8" t="n"/>
      <c r="G95" s="8">
        <f>IF(COUNT(D95:F95)=0,"",SUM(D95:F95))</f>
        <v/>
      </c>
      <c r="H95" s="9" t="n"/>
    </row>
    <row r="96">
      <c r="A96" s="8">
        <f>IF(Applications!A49="","",Applications!A49)</f>
        <v/>
      </c>
      <c r="B96" s="8">
        <f>IF(Applications!A49="","",Applications!C49)</f>
        <v/>
      </c>
      <c r="C96" s="8">
        <f>IF(Applications!A49="","","Reader 1")</f>
        <v/>
      </c>
      <c r="D96" s="8" t="n"/>
      <c r="E96" s="8" t="n"/>
      <c r="F96" s="8" t="n"/>
      <c r="G96" s="8">
        <f>IF(COUNT(D96:F96)=0,"",SUM(D96:F96))</f>
        <v/>
      </c>
      <c r="H96" s="9" t="n"/>
    </row>
    <row r="97">
      <c r="A97" s="8">
        <f>IF(Applications!A49="","",Applications!A49)</f>
        <v/>
      </c>
      <c r="B97" s="8">
        <f>IF(Applications!A49="","",Applications!C49)</f>
        <v/>
      </c>
      <c r="C97" s="8">
        <f>IF(Applications!A49="","","Reader 2")</f>
        <v/>
      </c>
      <c r="D97" s="8" t="n"/>
      <c r="E97" s="8" t="n"/>
      <c r="F97" s="8" t="n"/>
      <c r="G97" s="8">
        <f>IF(COUNT(D97:F97)=0,"",SUM(D97:F97))</f>
        <v/>
      </c>
      <c r="H97" s="9" t="n"/>
    </row>
    <row r="98">
      <c r="A98" s="8">
        <f>IF(Applications!A50="","",Applications!A50)</f>
        <v/>
      </c>
      <c r="B98" s="8">
        <f>IF(Applications!A50="","",Applications!C50)</f>
        <v/>
      </c>
      <c r="C98" s="8">
        <f>IF(Applications!A50="","","Reader 1")</f>
        <v/>
      </c>
      <c r="D98" s="8" t="n"/>
      <c r="E98" s="8" t="n"/>
      <c r="F98" s="8" t="n"/>
      <c r="G98" s="8">
        <f>IF(COUNT(D98:F98)=0,"",SUM(D98:F98))</f>
        <v/>
      </c>
      <c r="H98" s="9" t="n"/>
    </row>
    <row r="99">
      <c r="A99" s="8">
        <f>IF(Applications!A50="","",Applications!A50)</f>
        <v/>
      </c>
      <c r="B99" s="8">
        <f>IF(Applications!A50="","",Applications!C50)</f>
        <v/>
      </c>
      <c r="C99" s="8">
        <f>IF(Applications!A50="","","Reader 2")</f>
        <v/>
      </c>
      <c r="D99" s="8" t="n"/>
      <c r="E99" s="8" t="n"/>
      <c r="F99" s="8" t="n"/>
      <c r="G99" s="8">
        <f>IF(COUNT(D99:F99)=0,"",SUM(D99:F99))</f>
        <v/>
      </c>
      <c r="H99" s="9" t="n"/>
    </row>
    <row r="100">
      <c r="A100" s="8">
        <f>IF(Applications!A51="","",Applications!A51)</f>
        <v/>
      </c>
      <c r="B100" s="8">
        <f>IF(Applications!A51="","",Applications!C51)</f>
        <v/>
      </c>
      <c r="C100" s="8">
        <f>IF(Applications!A51="","","Reader 1")</f>
        <v/>
      </c>
      <c r="D100" s="8" t="n"/>
      <c r="E100" s="8" t="n"/>
      <c r="F100" s="8" t="n"/>
      <c r="G100" s="8">
        <f>IF(COUNT(D100:F100)=0,"",SUM(D100:F100))</f>
        <v/>
      </c>
      <c r="H100" s="9" t="n"/>
    </row>
    <row r="101">
      <c r="A101" s="8">
        <f>IF(Applications!A51="","",Applications!A51)</f>
        <v/>
      </c>
      <c r="B101" s="8">
        <f>IF(Applications!A51="","",Applications!C51)</f>
        <v/>
      </c>
      <c r="C101" s="8">
        <f>IF(Applications!A51="","","Reader 2")</f>
        <v/>
      </c>
      <c r="D101" s="8" t="n"/>
      <c r="E101" s="8" t="n"/>
      <c r="F101" s="8" t="n"/>
      <c r="G101" s="8">
        <f>IF(COUNT(D101:F101)=0,"",SUM(D101:F101))</f>
        <v/>
      </c>
      <c r="H101" s="9" t="n"/>
    </row>
    <row r="102">
      <c r="A102" s="8">
        <f>IF(Applications!A52="","",Applications!A52)</f>
        <v/>
      </c>
      <c r="B102" s="8">
        <f>IF(Applications!A52="","",Applications!C52)</f>
        <v/>
      </c>
      <c r="C102" s="8">
        <f>IF(Applications!A52="","","Reader 1")</f>
        <v/>
      </c>
      <c r="D102" s="8" t="n"/>
      <c r="E102" s="8" t="n"/>
      <c r="F102" s="8" t="n"/>
      <c r="G102" s="8">
        <f>IF(COUNT(D102:F102)=0,"",SUM(D102:F102))</f>
        <v/>
      </c>
      <c r="H102" s="9" t="n"/>
    </row>
    <row r="103">
      <c r="A103" s="8">
        <f>IF(Applications!A52="","",Applications!A52)</f>
        <v/>
      </c>
      <c r="B103" s="8">
        <f>IF(Applications!A52="","",Applications!C52)</f>
        <v/>
      </c>
      <c r="C103" s="8">
        <f>IF(Applications!A52="","","Reader 2")</f>
        <v/>
      </c>
      <c r="D103" s="8" t="n"/>
      <c r="E103" s="8" t="n"/>
      <c r="F103" s="8" t="n"/>
      <c r="G103" s="8">
        <f>IF(COUNT(D103:F103)=0,"",SUM(D103:F103))</f>
        <v/>
      </c>
      <c r="H103" s="9" t="n"/>
    </row>
    <row r="104">
      <c r="A104" s="8">
        <f>IF(Applications!A53="","",Applications!A53)</f>
        <v/>
      </c>
      <c r="B104" s="8">
        <f>IF(Applications!A53="","",Applications!C53)</f>
        <v/>
      </c>
      <c r="C104" s="8">
        <f>IF(Applications!A53="","","Reader 1")</f>
        <v/>
      </c>
      <c r="D104" s="8" t="n"/>
      <c r="E104" s="8" t="n"/>
      <c r="F104" s="8" t="n"/>
      <c r="G104" s="8">
        <f>IF(COUNT(D104:F104)=0,"",SUM(D104:F104))</f>
        <v/>
      </c>
      <c r="H104" s="9" t="n"/>
    </row>
    <row r="105">
      <c r="A105" s="8">
        <f>IF(Applications!A53="","",Applications!A53)</f>
        <v/>
      </c>
      <c r="B105" s="8">
        <f>IF(Applications!A53="","",Applications!C53)</f>
        <v/>
      </c>
      <c r="C105" s="8">
        <f>IF(Applications!A53="","","Reader 2")</f>
        <v/>
      </c>
      <c r="D105" s="8" t="n"/>
      <c r="E105" s="8" t="n"/>
      <c r="F105" s="8" t="n"/>
      <c r="G105" s="8">
        <f>IF(COUNT(D105:F105)=0,"",SUM(D105:F105))</f>
        <v/>
      </c>
      <c r="H105" s="9" t="n"/>
    </row>
    <row r="106">
      <c r="A106" s="8">
        <f>IF(Applications!A54="","",Applications!A54)</f>
        <v/>
      </c>
      <c r="B106" s="8">
        <f>IF(Applications!A54="","",Applications!C54)</f>
        <v/>
      </c>
      <c r="C106" s="8">
        <f>IF(Applications!A54="","","Reader 1")</f>
        <v/>
      </c>
      <c r="D106" s="8" t="n"/>
      <c r="E106" s="8" t="n"/>
      <c r="F106" s="8" t="n"/>
      <c r="G106" s="8">
        <f>IF(COUNT(D106:F106)=0,"",SUM(D106:F106))</f>
        <v/>
      </c>
      <c r="H106" s="9" t="n"/>
    </row>
    <row r="107">
      <c r="A107" s="8">
        <f>IF(Applications!A54="","",Applications!A54)</f>
        <v/>
      </c>
      <c r="B107" s="8">
        <f>IF(Applications!A54="","",Applications!C54)</f>
        <v/>
      </c>
      <c r="C107" s="8">
        <f>IF(Applications!A54="","","Reader 2")</f>
        <v/>
      </c>
      <c r="D107" s="8" t="n"/>
      <c r="E107" s="8" t="n"/>
      <c r="F107" s="8" t="n"/>
      <c r="G107" s="8">
        <f>IF(COUNT(D107:F107)=0,"",SUM(D107:F107))</f>
        <v/>
      </c>
      <c r="H107" s="9" t="n"/>
    </row>
    <row r="108">
      <c r="A108" s="8">
        <f>IF(Applications!A55="","",Applications!A55)</f>
        <v/>
      </c>
      <c r="B108" s="8">
        <f>IF(Applications!A55="","",Applications!C55)</f>
        <v/>
      </c>
      <c r="C108" s="8">
        <f>IF(Applications!A55="","","Reader 1")</f>
        <v/>
      </c>
      <c r="D108" s="8" t="n"/>
      <c r="E108" s="8" t="n"/>
      <c r="F108" s="8" t="n"/>
      <c r="G108" s="8">
        <f>IF(COUNT(D108:F108)=0,"",SUM(D108:F108))</f>
        <v/>
      </c>
      <c r="H108" s="9" t="n"/>
    </row>
    <row r="109">
      <c r="A109" s="8">
        <f>IF(Applications!A55="","",Applications!A55)</f>
        <v/>
      </c>
      <c r="B109" s="8">
        <f>IF(Applications!A55="","",Applications!C55)</f>
        <v/>
      </c>
      <c r="C109" s="8">
        <f>IF(Applications!A55="","","Reader 2")</f>
        <v/>
      </c>
      <c r="D109" s="8" t="n"/>
      <c r="E109" s="8" t="n"/>
      <c r="F109" s="8" t="n"/>
      <c r="G109" s="8">
        <f>IF(COUNT(D109:F109)=0,"",SUM(D109:F109))</f>
        <v/>
      </c>
      <c r="H109" s="9" t="n"/>
    </row>
    <row r="110">
      <c r="A110" s="8">
        <f>IF(Applications!A56="","",Applications!A56)</f>
        <v/>
      </c>
      <c r="B110" s="8">
        <f>IF(Applications!A56="","",Applications!C56)</f>
        <v/>
      </c>
      <c r="C110" s="8">
        <f>IF(Applications!A56="","","Reader 1")</f>
        <v/>
      </c>
      <c r="D110" s="8" t="n"/>
      <c r="E110" s="8" t="n"/>
      <c r="F110" s="8" t="n"/>
      <c r="G110" s="8">
        <f>IF(COUNT(D110:F110)=0,"",SUM(D110:F110))</f>
        <v/>
      </c>
      <c r="H110" s="9" t="n"/>
    </row>
    <row r="111">
      <c r="A111" s="8">
        <f>IF(Applications!A56="","",Applications!A56)</f>
        <v/>
      </c>
      <c r="B111" s="8">
        <f>IF(Applications!A56="","",Applications!C56)</f>
        <v/>
      </c>
      <c r="C111" s="8">
        <f>IF(Applications!A56="","","Reader 2")</f>
        <v/>
      </c>
      <c r="D111" s="8" t="n"/>
      <c r="E111" s="8" t="n"/>
      <c r="F111" s="8" t="n"/>
      <c r="G111" s="8">
        <f>IF(COUNT(D111:F111)=0,"",SUM(D111:F111))</f>
        <v/>
      </c>
      <c r="H111" s="9" t="n"/>
    </row>
    <row r="112">
      <c r="A112" s="8">
        <f>IF(Applications!A57="","",Applications!A57)</f>
        <v/>
      </c>
      <c r="B112" s="8">
        <f>IF(Applications!A57="","",Applications!C57)</f>
        <v/>
      </c>
      <c r="C112" s="8">
        <f>IF(Applications!A57="","","Reader 1")</f>
        <v/>
      </c>
      <c r="D112" s="8" t="n"/>
      <c r="E112" s="8" t="n"/>
      <c r="F112" s="8" t="n"/>
      <c r="G112" s="8">
        <f>IF(COUNT(D112:F112)=0,"",SUM(D112:F112))</f>
        <v/>
      </c>
      <c r="H112" s="9" t="n"/>
    </row>
    <row r="113">
      <c r="A113" s="8">
        <f>IF(Applications!A57="","",Applications!A57)</f>
        <v/>
      </c>
      <c r="B113" s="8">
        <f>IF(Applications!A57="","",Applications!C57)</f>
        <v/>
      </c>
      <c r="C113" s="8">
        <f>IF(Applications!A57="","","Reader 2")</f>
        <v/>
      </c>
      <c r="D113" s="8" t="n"/>
      <c r="E113" s="8" t="n"/>
      <c r="F113" s="8" t="n"/>
      <c r="G113" s="8">
        <f>IF(COUNT(D113:F113)=0,"",SUM(D113:F113))</f>
        <v/>
      </c>
      <c r="H113" s="9" t="n"/>
    </row>
    <row r="114">
      <c r="A114" s="8">
        <f>IF(Applications!A58="","",Applications!A58)</f>
        <v/>
      </c>
      <c r="B114" s="8">
        <f>IF(Applications!A58="","",Applications!C58)</f>
        <v/>
      </c>
      <c r="C114" s="8">
        <f>IF(Applications!A58="","","Reader 1")</f>
        <v/>
      </c>
      <c r="D114" s="8" t="n"/>
      <c r="E114" s="8" t="n"/>
      <c r="F114" s="8" t="n"/>
      <c r="G114" s="8">
        <f>IF(COUNT(D114:F114)=0,"",SUM(D114:F114))</f>
        <v/>
      </c>
      <c r="H114" s="9" t="n"/>
    </row>
    <row r="115">
      <c r="A115" s="8">
        <f>IF(Applications!A58="","",Applications!A58)</f>
        <v/>
      </c>
      <c r="B115" s="8">
        <f>IF(Applications!A58="","",Applications!C58)</f>
        <v/>
      </c>
      <c r="C115" s="8">
        <f>IF(Applications!A58="","","Reader 2")</f>
        <v/>
      </c>
      <c r="D115" s="8" t="n"/>
      <c r="E115" s="8" t="n"/>
      <c r="F115" s="8" t="n"/>
      <c r="G115" s="8">
        <f>IF(COUNT(D115:F115)=0,"",SUM(D115:F115))</f>
        <v/>
      </c>
      <c r="H115" s="9" t="n"/>
    </row>
    <row r="116">
      <c r="A116" s="8">
        <f>IF(Applications!A59="","",Applications!A59)</f>
        <v/>
      </c>
      <c r="B116" s="8">
        <f>IF(Applications!A59="","",Applications!C59)</f>
        <v/>
      </c>
      <c r="C116" s="8">
        <f>IF(Applications!A59="","","Reader 1")</f>
        <v/>
      </c>
      <c r="D116" s="8" t="n"/>
      <c r="E116" s="8" t="n"/>
      <c r="F116" s="8" t="n"/>
      <c r="G116" s="8">
        <f>IF(COUNT(D116:F116)=0,"",SUM(D116:F116))</f>
        <v/>
      </c>
      <c r="H116" s="9" t="n"/>
    </row>
    <row r="117">
      <c r="A117" s="8">
        <f>IF(Applications!A59="","",Applications!A59)</f>
        <v/>
      </c>
      <c r="B117" s="8">
        <f>IF(Applications!A59="","",Applications!C59)</f>
        <v/>
      </c>
      <c r="C117" s="8">
        <f>IF(Applications!A59="","","Reader 2")</f>
        <v/>
      </c>
      <c r="D117" s="8" t="n"/>
      <c r="E117" s="8" t="n"/>
      <c r="F117" s="8" t="n"/>
      <c r="G117" s="8">
        <f>IF(COUNT(D117:F117)=0,"",SUM(D117:F117))</f>
        <v/>
      </c>
      <c r="H117" s="9" t="n"/>
    </row>
    <row r="118">
      <c r="A118" s="8">
        <f>IF(Applications!A60="","",Applications!A60)</f>
        <v/>
      </c>
      <c r="B118" s="8">
        <f>IF(Applications!A60="","",Applications!C60)</f>
        <v/>
      </c>
      <c r="C118" s="8">
        <f>IF(Applications!A60="","","Reader 1")</f>
        <v/>
      </c>
      <c r="D118" s="8" t="n"/>
      <c r="E118" s="8" t="n"/>
      <c r="F118" s="8" t="n"/>
      <c r="G118" s="8">
        <f>IF(COUNT(D118:F118)=0,"",SUM(D118:F118))</f>
        <v/>
      </c>
      <c r="H118" s="9" t="n"/>
    </row>
    <row r="119">
      <c r="A119" s="8">
        <f>IF(Applications!A60="","",Applications!A60)</f>
        <v/>
      </c>
      <c r="B119" s="8">
        <f>IF(Applications!A60="","",Applications!C60)</f>
        <v/>
      </c>
      <c r="C119" s="8">
        <f>IF(Applications!A60="","","Reader 2")</f>
        <v/>
      </c>
      <c r="D119" s="8" t="n"/>
      <c r="E119" s="8" t="n"/>
      <c r="F119" s="8" t="n"/>
      <c r="G119" s="8">
        <f>IF(COUNT(D119:F119)=0,"",SUM(D119:F119))</f>
        <v/>
      </c>
      <c r="H119" s="9" t="n"/>
    </row>
    <row r="120">
      <c r="A120" s="8">
        <f>IF(Applications!A61="","",Applications!A61)</f>
        <v/>
      </c>
      <c r="B120" s="8">
        <f>IF(Applications!A61="","",Applications!C61)</f>
        <v/>
      </c>
      <c r="C120" s="8">
        <f>IF(Applications!A61="","","Reader 1")</f>
        <v/>
      </c>
      <c r="D120" s="8" t="n"/>
      <c r="E120" s="8" t="n"/>
      <c r="F120" s="8" t="n"/>
      <c r="G120" s="8">
        <f>IF(COUNT(D120:F120)=0,"",SUM(D120:F120))</f>
        <v/>
      </c>
      <c r="H120" s="9" t="n"/>
    </row>
    <row r="121">
      <c r="A121" s="8">
        <f>IF(Applications!A61="","",Applications!A61)</f>
        <v/>
      </c>
      <c r="B121" s="8">
        <f>IF(Applications!A61="","",Applications!C61)</f>
        <v/>
      </c>
      <c r="C121" s="8">
        <f>IF(Applications!A61="","","Reader 2")</f>
        <v/>
      </c>
      <c r="D121" s="8" t="n"/>
      <c r="E121" s="8" t="n"/>
      <c r="F121" s="8" t="n"/>
      <c r="G121" s="8">
        <f>IF(COUNT(D121:F121)=0,"",SUM(D121:F121))</f>
        <v/>
      </c>
      <c r="H121" s="9" t="n"/>
    </row>
    <row r="122">
      <c r="A122" s="8">
        <f>IF(Applications!A62="","",Applications!A62)</f>
        <v/>
      </c>
      <c r="B122" s="8">
        <f>IF(Applications!A62="","",Applications!C62)</f>
        <v/>
      </c>
      <c r="C122" s="8">
        <f>IF(Applications!A62="","","Reader 1")</f>
        <v/>
      </c>
      <c r="D122" s="8" t="n"/>
      <c r="E122" s="8" t="n"/>
      <c r="F122" s="8" t="n"/>
      <c r="G122" s="8">
        <f>IF(COUNT(D122:F122)=0,"",SUM(D122:F122))</f>
        <v/>
      </c>
      <c r="H122" s="9" t="n"/>
    </row>
    <row r="123">
      <c r="A123" s="8">
        <f>IF(Applications!A62="","",Applications!A62)</f>
        <v/>
      </c>
      <c r="B123" s="8">
        <f>IF(Applications!A62="","",Applications!C62)</f>
        <v/>
      </c>
      <c r="C123" s="8">
        <f>IF(Applications!A62="","","Reader 2")</f>
        <v/>
      </c>
      <c r="D123" s="8" t="n"/>
      <c r="E123" s="8" t="n"/>
      <c r="F123" s="8" t="n"/>
      <c r="G123" s="8">
        <f>IF(COUNT(D123:F123)=0,"",SUM(D123:F123))</f>
        <v/>
      </c>
      <c r="H123" s="9" t="n"/>
    </row>
    <row r="124">
      <c r="A124" s="8">
        <f>IF(Applications!A63="","",Applications!A63)</f>
        <v/>
      </c>
      <c r="B124" s="8">
        <f>IF(Applications!A63="","",Applications!C63)</f>
        <v/>
      </c>
      <c r="C124" s="8">
        <f>IF(Applications!A63="","","Reader 1")</f>
        <v/>
      </c>
      <c r="D124" s="8" t="n"/>
      <c r="E124" s="8" t="n"/>
      <c r="F124" s="8" t="n"/>
      <c r="G124" s="8">
        <f>IF(COUNT(D124:F124)=0,"",SUM(D124:F124))</f>
        <v/>
      </c>
      <c r="H124" s="9" t="n"/>
    </row>
    <row r="125">
      <c r="A125" s="8">
        <f>IF(Applications!A63="","",Applications!A63)</f>
        <v/>
      </c>
      <c r="B125" s="8">
        <f>IF(Applications!A63="","",Applications!C63)</f>
        <v/>
      </c>
      <c r="C125" s="8">
        <f>IF(Applications!A63="","","Reader 2")</f>
        <v/>
      </c>
      <c r="D125" s="8" t="n"/>
      <c r="E125" s="8" t="n"/>
      <c r="F125" s="8" t="n"/>
      <c r="G125" s="8">
        <f>IF(COUNT(D125:F125)=0,"",SUM(D125:F125))</f>
        <v/>
      </c>
      <c r="H125" s="9" t="n"/>
    </row>
    <row r="126">
      <c r="A126" s="8">
        <f>IF(Applications!A64="","",Applications!A64)</f>
        <v/>
      </c>
      <c r="B126" s="8">
        <f>IF(Applications!A64="","",Applications!C64)</f>
        <v/>
      </c>
      <c r="C126" s="8">
        <f>IF(Applications!A64="","","Reader 1")</f>
        <v/>
      </c>
      <c r="D126" s="8" t="n"/>
      <c r="E126" s="8" t="n"/>
      <c r="F126" s="8" t="n"/>
      <c r="G126" s="8">
        <f>IF(COUNT(D126:F126)=0,"",SUM(D126:F126))</f>
        <v/>
      </c>
      <c r="H126" s="9" t="n"/>
    </row>
    <row r="127">
      <c r="A127" s="8">
        <f>IF(Applications!A64="","",Applications!A64)</f>
        <v/>
      </c>
      <c r="B127" s="8">
        <f>IF(Applications!A64="","",Applications!C64)</f>
        <v/>
      </c>
      <c r="C127" s="8">
        <f>IF(Applications!A64="","","Reader 2")</f>
        <v/>
      </c>
      <c r="D127" s="8" t="n"/>
      <c r="E127" s="8" t="n"/>
      <c r="F127" s="8" t="n"/>
      <c r="G127" s="8">
        <f>IF(COUNT(D127:F127)=0,"",SUM(D127:F127))</f>
        <v/>
      </c>
      <c r="H127" s="9" t="n"/>
    </row>
    <row r="128">
      <c r="A128" s="8">
        <f>IF(Applications!A65="","",Applications!A65)</f>
        <v/>
      </c>
      <c r="B128" s="8">
        <f>IF(Applications!A65="","",Applications!C65)</f>
        <v/>
      </c>
      <c r="C128" s="8">
        <f>IF(Applications!A65="","","Reader 1")</f>
        <v/>
      </c>
      <c r="D128" s="8" t="n"/>
      <c r="E128" s="8" t="n"/>
      <c r="F128" s="8" t="n"/>
      <c r="G128" s="8">
        <f>IF(COUNT(D128:F128)=0,"",SUM(D128:F128))</f>
        <v/>
      </c>
      <c r="H128" s="9" t="n"/>
    </row>
    <row r="129">
      <c r="A129" s="8">
        <f>IF(Applications!A65="","",Applications!A65)</f>
        <v/>
      </c>
      <c r="B129" s="8">
        <f>IF(Applications!A65="","",Applications!C65)</f>
        <v/>
      </c>
      <c r="C129" s="8">
        <f>IF(Applications!A65="","","Reader 2")</f>
        <v/>
      </c>
      <c r="D129" s="8" t="n"/>
      <c r="E129" s="8" t="n"/>
      <c r="F129" s="8" t="n"/>
      <c r="G129" s="8">
        <f>IF(COUNT(D129:F129)=0,"",SUM(D129:F129))</f>
        <v/>
      </c>
      <c r="H129" s="9" t="n"/>
    </row>
    <row r="130">
      <c r="A130" s="8">
        <f>IF(Applications!A66="","",Applications!A66)</f>
        <v/>
      </c>
      <c r="B130" s="8">
        <f>IF(Applications!A66="","",Applications!C66)</f>
        <v/>
      </c>
      <c r="C130" s="8">
        <f>IF(Applications!A66="","","Reader 1")</f>
        <v/>
      </c>
      <c r="D130" s="8" t="n"/>
      <c r="E130" s="8" t="n"/>
      <c r="F130" s="8" t="n"/>
      <c r="G130" s="8">
        <f>IF(COUNT(D130:F130)=0,"",SUM(D130:F130))</f>
        <v/>
      </c>
      <c r="H130" s="9" t="n"/>
    </row>
    <row r="131">
      <c r="A131" s="8">
        <f>IF(Applications!A66="","",Applications!A66)</f>
        <v/>
      </c>
      <c r="B131" s="8">
        <f>IF(Applications!A66="","",Applications!C66)</f>
        <v/>
      </c>
      <c r="C131" s="8">
        <f>IF(Applications!A66="","","Reader 2")</f>
        <v/>
      </c>
      <c r="D131" s="8" t="n"/>
      <c r="E131" s="8" t="n"/>
      <c r="F131" s="8" t="n"/>
      <c r="G131" s="8">
        <f>IF(COUNT(D131:F131)=0,"",SUM(D131:F131))</f>
        <v/>
      </c>
      <c r="H131" s="9" t="n"/>
    </row>
    <row r="132">
      <c r="A132" s="8">
        <f>IF(Applications!A67="","",Applications!A67)</f>
        <v/>
      </c>
      <c r="B132" s="8">
        <f>IF(Applications!A67="","",Applications!C67)</f>
        <v/>
      </c>
      <c r="C132" s="8">
        <f>IF(Applications!A67="","","Reader 1")</f>
        <v/>
      </c>
      <c r="D132" s="8" t="n"/>
      <c r="E132" s="8" t="n"/>
      <c r="F132" s="8" t="n"/>
      <c r="G132" s="8">
        <f>IF(COUNT(D132:F132)=0,"",SUM(D132:F132))</f>
        <v/>
      </c>
      <c r="H132" s="9" t="n"/>
    </row>
    <row r="133">
      <c r="A133" s="8">
        <f>IF(Applications!A67="","",Applications!A67)</f>
        <v/>
      </c>
      <c r="B133" s="8">
        <f>IF(Applications!A67="","",Applications!C67)</f>
        <v/>
      </c>
      <c r="C133" s="8">
        <f>IF(Applications!A67="","","Reader 2")</f>
        <v/>
      </c>
      <c r="D133" s="8" t="n"/>
      <c r="E133" s="8" t="n"/>
      <c r="F133" s="8" t="n"/>
      <c r="G133" s="8">
        <f>IF(COUNT(D133:F133)=0,"",SUM(D133:F133))</f>
        <v/>
      </c>
      <c r="H133" s="9" t="n"/>
    </row>
    <row r="134">
      <c r="A134" s="8">
        <f>IF(Applications!A68="","",Applications!A68)</f>
        <v/>
      </c>
      <c r="B134" s="8">
        <f>IF(Applications!A68="","",Applications!C68)</f>
        <v/>
      </c>
      <c r="C134" s="8">
        <f>IF(Applications!A68="","","Reader 1")</f>
        <v/>
      </c>
      <c r="D134" s="8" t="n"/>
      <c r="E134" s="8" t="n"/>
      <c r="F134" s="8" t="n"/>
      <c r="G134" s="8">
        <f>IF(COUNT(D134:F134)=0,"",SUM(D134:F134))</f>
        <v/>
      </c>
      <c r="H134" s="9" t="n"/>
    </row>
    <row r="135">
      <c r="A135" s="8">
        <f>IF(Applications!A68="","",Applications!A68)</f>
        <v/>
      </c>
      <c r="B135" s="8">
        <f>IF(Applications!A68="","",Applications!C68)</f>
        <v/>
      </c>
      <c r="C135" s="8">
        <f>IF(Applications!A68="","","Reader 2")</f>
        <v/>
      </c>
      <c r="D135" s="8" t="n"/>
      <c r="E135" s="8" t="n"/>
      <c r="F135" s="8" t="n"/>
      <c r="G135" s="8">
        <f>IF(COUNT(D135:F135)=0,"",SUM(D135:F135))</f>
        <v/>
      </c>
      <c r="H135" s="9" t="n"/>
    </row>
    <row r="136">
      <c r="A136" s="8">
        <f>IF(Applications!A69="","",Applications!A69)</f>
        <v/>
      </c>
      <c r="B136" s="8">
        <f>IF(Applications!A69="","",Applications!C69)</f>
        <v/>
      </c>
      <c r="C136" s="8">
        <f>IF(Applications!A69="","","Reader 1")</f>
        <v/>
      </c>
      <c r="D136" s="8" t="n"/>
      <c r="E136" s="8" t="n"/>
      <c r="F136" s="8" t="n"/>
      <c r="G136" s="8">
        <f>IF(COUNT(D136:F136)=0,"",SUM(D136:F136))</f>
        <v/>
      </c>
      <c r="H136" s="9" t="n"/>
    </row>
    <row r="137">
      <c r="A137" s="8">
        <f>IF(Applications!A69="","",Applications!A69)</f>
        <v/>
      </c>
      <c r="B137" s="8">
        <f>IF(Applications!A69="","",Applications!C69)</f>
        <v/>
      </c>
      <c r="C137" s="8">
        <f>IF(Applications!A69="","","Reader 2")</f>
        <v/>
      </c>
      <c r="D137" s="8" t="n"/>
      <c r="E137" s="8" t="n"/>
      <c r="F137" s="8" t="n"/>
      <c r="G137" s="8">
        <f>IF(COUNT(D137:F137)=0,"",SUM(D137:F137))</f>
        <v/>
      </c>
      <c r="H137" s="9" t="n"/>
    </row>
    <row r="138">
      <c r="A138" s="8">
        <f>IF(Applications!A70="","",Applications!A70)</f>
        <v/>
      </c>
      <c r="B138" s="8">
        <f>IF(Applications!A70="","",Applications!C70)</f>
        <v/>
      </c>
      <c r="C138" s="8">
        <f>IF(Applications!A70="","","Reader 1")</f>
        <v/>
      </c>
      <c r="D138" s="8" t="n"/>
      <c r="E138" s="8" t="n"/>
      <c r="F138" s="8" t="n"/>
      <c r="G138" s="8">
        <f>IF(COUNT(D138:F138)=0,"",SUM(D138:F138))</f>
        <v/>
      </c>
      <c r="H138" s="9" t="n"/>
    </row>
    <row r="139">
      <c r="A139" s="8">
        <f>IF(Applications!A70="","",Applications!A70)</f>
        <v/>
      </c>
      <c r="B139" s="8">
        <f>IF(Applications!A70="","",Applications!C70)</f>
        <v/>
      </c>
      <c r="C139" s="8">
        <f>IF(Applications!A70="","","Reader 2")</f>
        <v/>
      </c>
      <c r="D139" s="8" t="n"/>
      <c r="E139" s="8" t="n"/>
      <c r="F139" s="8" t="n"/>
      <c r="G139" s="8">
        <f>IF(COUNT(D139:F139)=0,"",SUM(D139:F139))</f>
        <v/>
      </c>
      <c r="H139" s="9" t="n"/>
    </row>
    <row r="140">
      <c r="A140" s="8">
        <f>IF(Applications!A71="","",Applications!A71)</f>
        <v/>
      </c>
      <c r="B140" s="8">
        <f>IF(Applications!A71="","",Applications!C71)</f>
        <v/>
      </c>
      <c r="C140" s="8">
        <f>IF(Applications!A71="","","Reader 1")</f>
        <v/>
      </c>
      <c r="D140" s="8" t="n"/>
      <c r="E140" s="8" t="n"/>
      <c r="F140" s="8" t="n"/>
      <c r="G140" s="8">
        <f>IF(COUNT(D140:F140)=0,"",SUM(D140:F140))</f>
        <v/>
      </c>
      <c r="H140" s="9" t="n"/>
    </row>
    <row r="141">
      <c r="A141" s="8">
        <f>IF(Applications!A71="","",Applications!A71)</f>
        <v/>
      </c>
      <c r="B141" s="8">
        <f>IF(Applications!A71="","",Applications!C71)</f>
        <v/>
      </c>
      <c r="C141" s="8">
        <f>IF(Applications!A71="","","Reader 2")</f>
        <v/>
      </c>
      <c r="D141" s="8" t="n"/>
      <c r="E141" s="8" t="n"/>
      <c r="F141" s="8" t="n"/>
      <c r="G141" s="8">
        <f>IF(COUNT(D141:F141)=0,"",SUM(D141:F141))</f>
        <v/>
      </c>
      <c r="H141" s="9" t="n"/>
    </row>
    <row r="142">
      <c r="A142" s="8">
        <f>IF(Applications!A72="","",Applications!A72)</f>
        <v/>
      </c>
      <c r="B142" s="8">
        <f>IF(Applications!A72="","",Applications!C72)</f>
        <v/>
      </c>
      <c r="C142" s="8">
        <f>IF(Applications!A72="","","Reader 1")</f>
        <v/>
      </c>
      <c r="D142" s="8" t="n"/>
      <c r="E142" s="8" t="n"/>
      <c r="F142" s="8" t="n"/>
      <c r="G142" s="8">
        <f>IF(COUNT(D142:F142)=0,"",SUM(D142:F142))</f>
        <v/>
      </c>
      <c r="H142" s="9" t="n"/>
    </row>
    <row r="143">
      <c r="A143" s="8">
        <f>IF(Applications!A72="","",Applications!A72)</f>
        <v/>
      </c>
      <c r="B143" s="8">
        <f>IF(Applications!A72="","",Applications!C72)</f>
        <v/>
      </c>
      <c r="C143" s="8">
        <f>IF(Applications!A72="","","Reader 2")</f>
        <v/>
      </c>
      <c r="D143" s="8" t="n"/>
      <c r="E143" s="8" t="n"/>
      <c r="F143" s="8" t="n"/>
      <c r="G143" s="8">
        <f>IF(COUNT(D143:F143)=0,"",SUM(D143:F143))</f>
        <v/>
      </c>
      <c r="H143" s="9" t="n"/>
    </row>
    <row r="144">
      <c r="A144" s="8">
        <f>IF(Applications!A73="","",Applications!A73)</f>
        <v/>
      </c>
      <c r="B144" s="8">
        <f>IF(Applications!A73="","",Applications!C73)</f>
        <v/>
      </c>
      <c r="C144" s="8">
        <f>IF(Applications!A73="","","Reader 1")</f>
        <v/>
      </c>
      <c r="D144" s="8" t="n"/>
      <c r="E144" s="8" t="n"/>
      <c r="F144" s="8" t="n"/>
      <c r="G144" s="8">
        <f>IF(COUNT(D144:F144)=0,"",SUM(D144:F144))</f>
        <v/>
      </c>
      <c r="H144" s="9" t="n"/>
    </row>
    <row r="145">
      <c r="A145" s="8">
        <f>IF(Applications!A73="","",Applications!A73)</f>
        <v/>
      </c>
      <c r="B145" s="8">
        <f>IF(Applications!A73="","",Applications!C73)</f>
        <v/>
      </c>
      <c r="C145" s="8">
        <f>IF(Applications!A73="","","Reader 2")</f>
        <v/>
      </c>
      <c r="D145" s="8" t="n"/>
      <c r="E145" s="8" t="n"/>
      <c r="F145" s="8" t="n"/>
      <c r="G145" s="8">
        <f>IF(COUNT(D145:F145)=0,"",SUM(D145:F145))</f>
        <v/>
      </c>
      <c r="H145" s="9" t="n"/>
    </row>
    <row r="146">
      <c r="A146" s="8">
        <f>IF(Applications!A74="","",Applications!A74)</f>
        <v/>
      </c>
      <c r="B146" s="8">
        <f>IF(Applications!A74="","",Applications!C74)</f>
        <v/>
      </c>
      <c r="C146" s="8">
        <f>IF(Applications!A74="","","Reader 1")</f>
        <v/>
      </c>
      <c r="D146" s="8" t="n"/>
      <c r="E146" s="8" t="n"/>
      <c r="F146" s="8" t="n"/>
      <c r="G146" s="8">
        <f>IF(COUNT(D146:F146)=0,"",SUM(D146:F146))</f>
        <v/>
      </c>
      <c r="H146" s="9" t="n"/>
    </row>
    <row r="147">
      <c r="A147" s="8">
        <f>IF(Applications!A74="","",Applications!A74)</f>
        <v/>
      </c>
      <c r="B147" s="8">
        <f>IF(Applications!A74="","",Applications!C74)</f>
        <v/>
      </c>
      <c r="C147" s="8">
        <f>IF(Applications!A74="","","Reader 2")</f>
        <v/>
      </c>
      <c r="D147" s="8" t="n"/>
      <c r="E147" s="8" t="n"/>
      <c r="F147" s="8" t="n"/>
      <c r="G147" s="8">
        <f>IF(COUNT(D147:F147)=0,"",SUM(D147:F147))</f>
        <v/>
      </c>
      <c r="H147" s="9" t="n"/>
    </row>
    <row r="148">
      <c r="A148" s="8">
        <f>IF(Applications!A75="","",Applications!A75)</f>
        <v/>
      </c>
      <c r="B148" s="8">
        <f>IF(Applications!A75="","",Applications!C75)</f>
        <v/>
      </c>
      <c r="C148" s="8">
        <f>IF(Applications!A75="","","Reader 1")</f>
        <v/>
      </c>
      <c r="D148" s="8" t="n"/>
      <c r="E148" s="8" t="n"/>
      <c r="F148" s="8" t="n"/>
      <c r="G148" s="8">
        <f>IF(COUNT(D148:F148)=0,"",SUM(D148:F148))</f>
        <v/>
      </c>
      <c r="H148" s="9" t="n"/>
    </row>
    <row r="149">
      <c r="A149" s="8">
        <f>IF(Applications!A75="","",Applications!A75)</f>
        <v/>
      </c>
      <c r="B149" s="8">
        <f>IF(Applications!A75="","",Applications!C75)</f>
        <v/>
      </c>
      <c r="C149" s="8">
        <f>IF(Applications!A75="","","Reader 2")</f>
        <v/>
      </c>
      <c r="D149" s="8" t="n"/>
      <c r="E149" s="8" t="n"/>
      <c r="F149" s="8" t="n"/>
      <c r="G149" s="8">
        <f>IF(COUNT(D149:F149)=0,"",SUM(D149:F149))</f>
        <v/>
      </c>
      <c r="H149" s="9" t="n"/>
    </row>
    <row r="150">
      <c r="A150" s="8">
        <f>IF(Applications!A76="","",Applications!A76)</f>
        <v/>
      </c>
      <c r="B150" s="8">
        <f>IF(Applications!A76="","",Applications!C76)</f>
        <v/>
      </c>
      <c r="C150" s="8">
        <f>IF(Applications!A76="","","Reader 1")</f>
        <v/>
      </c>
      <c r="D150" s="8" t="n"/>
      <c r="E150" s="8" t="n"/>
      <c r="F150" s="8" t="n"/>
      <c r="G150" s="8">
        <f>IF(COUNT(D150:F150)=0,"",SUM(D150:F150))</f>
        <v/>
      </c>
      <c r="H150" s="9" t="n"/>
    </row>
    <row r="151">
      <c r="A151" s="8">
        <f>IF(Applications!A76="","",Applications!A76)</f>
        <v/>
      </c>
      <c r="B151" s="8">
        <f>IF(Applications!A76="","",Applications!C76)</f>
        <v/>
      </c>
      <c r="C151" s="8">
        <f>IF(Applications!A76="","","Reader 2")</f>
        <v/>
      </c>
      <c r="D151" s="8" t="n"/>
      <c r="E151" s="8" t="n"/>
      <c r="F151" s="8" t="n"/>
      <c r="G151" s="8">
        <f>IF(COUNT(D151:F151)=0,"",SUM(D151:F151))</f>
        <v/>
      </c>
      <c r="H151" s="9" t="n"/>
    </row>
    <row r="152">
      <c r="A152" s="8">
        <f>IF(Applications!A77="","",Applications!A77)</f>
        <v/>
      </c>
      <c r="B152" s="8">
        <f>IF(Applications!A77="","",Applications!C77)</f>
        <v/>
      </c>
      <c r="C152" s="8">
        <f>IF(Applications!A77="","","Reader 1")</f>
        <v/>
      </c>
      <c r="D152" s="8" t="n"/>
      <c r="E152" s="8" t="n"/>
      <c r="F152" s="8" t="n"/>
      <c r="G152" s="8">
        <f>IF(COUNT(D152:F152)=0,"",SUM(D152:F152))</f>
        <v/>
      </c>
      <c r="H152" s="9" t="n"/>
    </row>
    <row r="153">
      <c r="A153" s="8">
        <f>IF(Applications!A77="","",Applications!A77)</f>
        <v/>
      </c>
      <c r="B153" s="8">
        <f>IF(Applications!A77="","",Applications!C77)</f>
        <v/>
      </c>
      <c r="C153" s="8">
        <f>IF(Applications!A77="","","Reader 2")</f>
        <v/>
      </c>
      <c r="D153" s="8" t="n"/>
      <c r="E153" s="8" t="n"/>
      <c r="F153" s="8" t="n"/>
      <c r="G153" s="8">
        <f>IF(COUNT(D153:F153)=0,"",SUM(D153:F153))</f>
        <v/>
      </c>
      <c r="H153" s="9" t="n"/>
    </row>
    <row r="154">
      <c r="A154" s="8">
        <f>IF(Applications!A78="","",Applications!A78)</f>
        <v/>
      </c>
      <c r="B154" s="8">
        <f>IF(Applications!A78="","",Applications!C78)</f>
        <v/>
      </c>
      <c r="C154" s="8">
        <f>IF(Applications!A78="","","Reader 1")</f>
        <v/>
      </c>
      <c r="D154" s="8" t="n"/>
      <c r="E154" s="8" t="n"/>
      <c r="F154" s="8" t="n"/>
      <c r="G154" s="8">
        <f>IF(COUNT(D154:F154)=0,"",SUM(D154:F154))</f>
        <v/>
      </c>
      <c r="H154" s="9" t="n"/>
    </row>
    <row r="155">
      <c r="A155" s="8">
        <f>IF(Applications!A78="","",Applications!A78)</f>
        <v/>
      </c>
      <c r="B155" s="8">
        <f>IF(Applications!A78="","",Applications!C78)</f>
        <v/>
      </c>
      <c r="C155" s="8">
        <f>IF(Applications!A78="","","Reader 2")</f>
        <v/>
      </c>
      <c r="D155" s="8" t="n"/>
      <c r="E155" s="8" t="n"/>
      <c r="F155" s="8" t="n"/>
      <c r="G155" s="8">
        <f>IF(COUNT(D155:F155)=0,"",SUM(D155:F155))</f>
        <v/>
      </c>
      <c r="H155" s="9" t="n"/>
    </row>
    <row r="156">
      <c r="A156" s="8">
        <f>IF(Applications!A79="","",Applications!A79)</f>
        <v/>
      </c>
      <c r="B156" s="8">
        <f>IF(Applications!A79="","",Applications!C79)</f>
        <v/>
      </c>
      <c r="C156" s="8">
        <f>IF(Applications!A79="","","Reader 1")</f>
        <v/>
      </c>
      <c r="D156" s="8" t="n"/>
      <c r="E156" s="8" t="n"/>
      <c r="F156" s="8" t="n"/>
      <c r="G156" s="8">
        <f>IF(COUNT(D156:F156)=0,"",SUM(D156:F156))</f>
        <v/>
      </c>
      <c r="H156" s="9" t="n"/>
    </row>
    <row r="157">
      <c r="A157" s="8">
        <f>IF(Applications!A79="","",Applications!A79)</f>
        <v/>
      </c>
      <c r="B157" s="8">
        <f>IF(Applications!A79="","",Applications!C79)</f>
        <v/>
      </c>
      <c r="C157" s="8">
        <f>IF(Applications!A79="","","Reader 2")</f>
        <v/>
      </c>
      <c r="D157" s="8" t="n"/>
      <c r="E157" s="8" t="n"/>
      <c r="F157" s="8" t="n"/>
      <c r="G157" s="8">
        <f>IF(COUNT(D157:F157)=0,"",SUM(D157:F157))</f>
        <v/>
      </c>
      <c r="H157" s="9" t="n"/>
    </row>
    <row r="158">
      <c r="A158" s="8">
        <f>IF(Applications!A80="","",Applications!A80)</f>
        <v/>
      </c>
      <c r="B158" s="8">
        <f>IF(Applications!A80="","",Applications!C80)</f>
        <v/>
      </c>
      <c r="C158" s="8">
        <f>IF(Applications!A80="","","Reader 1")</f>
        <v/>
      </c>
      <c r="D158" s="8" t="n"/>
      <c r="E158" s="8" t="n"/>
      <c r="F158" s="8" t="n"/>
      <c r="G158" s="8">
        <f>IF(COUNT(D158:F158)=0,"",SUM(D158:F158))</f>
        <v/>
      </c>
      <c r="H158" s="9" t="n"/>
    </row>
    <row r="159">
      <c r="A159" s="8">
        <f>IF(Applications!A80="","",Applications!A80)</f>
        <v/>
      </c>
      <c r="B159" s="8">
        <f>IF(Applications!A80="","",Applications!C80)</f>
        <v/>
      </c>
      <c r="C159" s="8">
        <f>IF(Applications!A80="","","Reader 2")</f>
        <v/>
      </c>
      <c r="D159" s="8" t="n"/>
      <c r="E159" s="8" t="n"/>
      <c r="F159" s="8" t="n"/>
      <c r="G159" s="8">
        <f>IF(COUNT(D159:F159)=0,"",SUM(D159:F159))</f>
        <v/>
      </c>
      <c r="H159" s="9" t="n"/>
    </row>
    <row r="160">
      <c r="A160" s="8">
        <f>IF(Applications!A81="","",Applications!A81)</f>
        <v/>
      </c>
      <c r="B160" s="8">
        <f>IF(Applications!A81="","",Applications!C81)</f>
        <v/>
      </c>
      <c r="C160" s="8">
        <f>IF(Applications!A81="","","Reader 1")</f>
        <v/>
      </c>
      <c r="D160" s="8" t="n"/>
      <c r="E160" s="8" t="n"/>
      <c r="F160" s="8" t="n"/>
      <c r="G160" s="8">
        <f>IF(COUNT(D160:F160)=0,"",SUM(D160:F160))</f>
        <v/>
      </c>
      <c r="H160" s="9" t="n"/>
    </row>
    <row r="161">
      <c r="A161" s="8">
        <f>IF(Applications!A81="","",Applications!A81)</f>
        <v/>
      </c>
      <c r="B161" s="8">
        <f>IF(Applications!A81="","",Applications!C81)</f>
        <v/>
      </c>
      <c r="C161" s="8">
        <f>IF(Applications!A81="","","Reader 2")</f>
        <v/>
      </c>
      <c r="D161" s="8" t="n"/>
      <c r="E161" s="8" t="n"/>
      <c r="F161" s="8" t="n"/>
      <c r="G161" s="8">
        <f>IF(COUNT(D161:F161)=0,"",SUM(D161:F161))</f>
        <v/>
      </c>
      <c r="H161" s="9" t="n"/>
    </row>
    <row r="162">
      <c r="A162" s="8">
        <f>IF(Applications!A82="","",Applications!A82)</f>
        <v/>
      </c>
      <c r="B162" s="8">
        <f>IF(Applications!A82="","",Applications!C82)</f>
        <v/>
      </c>
      <c r="C162" s="8">
        <f>IF(Applications!A82="","","Reader 1")</f>
        <v/>
      </c>
      <c r="D162" s="8" t="n"/>
      <c r="E162" s="8" t="n"/>
      <c r="F162" s="8" t="n"/>
      <c r="G162" s="8">
        <f>IF(COUNT(D162:F162)=0,"",SUM(D162:F162))</f>
        <v/>
      </c>
      <c r="H162" s="9" t="n"/>
    </row>
    <row r="163">
      <c r="A163" s="8">
        <f>IF(Applications!A82="","",Applications!A82)</f>
        <v/>
      </c>
      <c r="B163" s="8">
        <f>IF(Applications!A82="","",Applications!C82)</f>
        <v/>
      </c>
      <c r="C163" s="8">
        <f>IF(Applications!A82="","","Reader 2")</f>
        <v/>
      </c>
      <c r="D163" s="8" t="n"/>
      <c r="E163" s="8" t="n"/>
      <c r="F163" s="8" t="n"/>
      <c r="G163" s="8">
        <f>IF(COUNT(D163:F163)=0,"",SUM(D163:F163))</f>
        <v/>
      </c>
      <c r="H163" s="9" t="n"/>
    </row>
    <row r="164">
      <c r="A164" s="8">
        <f>IF(Applications!A83="","",Applications!A83)</f>
        <v/>
      </c>
      <c r="B164" s="8">
        <f>IF(Applications!A83="","",Applications!C83)</f>
        <v/>
      </c>
      <c r="C164" s="8">
        <f>IF(Applications!A83="","","Reader 1")</f>
        <v/>
      </c>
      <c r="D164" s="8" t="n"/>
      <c r="E164" s="8" t="n"/>
      <c r="F164" s="8" t="n"/>
      <c r="G164" s="8">
        <f>IF(COUNT(D164:F164)=0,"",SUM(D164:F164))</f>
        <v/>
      </c>
      <c r="H164" s="9" t="n"/>
    </row>
    <row r="165">
      <c r="A165" s="8">
        <f>IF(Applications!A83="","",Applications!A83)</f>
        <v/>
      </c>
      <c r="B165" s="8">
        <f>IF(Applications!A83="","",Applications!C83)</f>
        <v/>
      </c>
      <c r="C165" s="8">
        <f>IF(Applications!A83="","","Reader 2")</f>
        <v/>
      </c>
      <c r="D165" s="8" t="n"/>
      <c r="E165" s="8" t="n"/>
      <c r="F165" s="8" t="n"/>
      <c r="G165" s="8">
        <f>IF(COUNT(D165:F165)=0,"",SUM(D165:F165))</f>
        <v/>
      </c>
      <c r="H165" s="9" t="n"/>
    </row>
    <row r="166">
      <c r="A166" s="8">
        <f>IF(Applications!A84="","",Applications!A84)</f>
        <v/>
      </c>
      <c r="B166" s="8">
        <f>IF(Applications!A84="","",Applications!C84)</f>
        <v/>
      </c>
      <c r="C166" s="8">
        <f>IF(Applications!A84="","","Reader 1")</f>
        <v/>
      </c>
      <c r="D166" s="8" t="n"/>
      <c r="E166" s="8" t="n"/>
      <c r="F166" s="8" t="n"/>
      <c r="G166" s="8">
        <f>IF(COUNT(D166:F166)=0,"",SUM(D166:F166))</f>
        <v/>
      </c>
      <c r="H166" s="9" t="n"/>
    </row>
    <row r="167">
      <c r="A167" s="8">
        <f>IF(Applications!A84="","",Applications!A84)</f>
        <v/>
      </c>
      <c r="B167" s="8">
        <f>IF(Applications!A84="","",Applications!C84)</f>
        <v/>
      </c>
      <c r="C167" s="8">
        <f>IF(Applications!A84="","","Reader 2")</f>
        <v/>
      </c>
      <c r="D167" s="8" t="n"/>
      <c r="E167" s="8" t="n"/>
      <c r="F167" s="8" t="n"/>
      <c r="G167" s="8">
        <f>IF(COUNT(D167:F167)=0,"",SUM(D167:F167))</f>
        <v/>
      </c>
      <c r="H167" s="9" t="n"/>
    </row>
    <row r="168">
      <c r="A168" s="8">
        <f>IF(Applications!A85="","",Applications!A85)</f>
        <v/>
      </c>
      <c r="B168" s="8">
        <f>IF(Applications!A85="","",Applications!C85)</f>
        <v/>
      </c>
      <c r="C168" s="8">
        <f>IF(Applications!A85="","","Reader 1")</f>
        <v/>
      </c>
      <c r="D168" s="8" t="n"/>
      <c r="E168" s="8" t="n"/>
      <c r="F168" s="8" t="n"/>
      <c r="G168" s="8">
        <f>IF(COUNT(D168:F168)=0,"",SUM(D168:F168))</f>
        <v/>
      </c>
      <c r="H168" s="9" t="n"/>
    </row>
    <row r="169">
      <c r="A169" s="8">
        <f>IF(Applications!A85="","",Applications!A85)</f>
        <v/>
      </c>
      <c r="B169" s="8">
        <f>IF(Applications!A85="","",Applications!C85)</f>
        <v/>
      </c>
      <c r="C169" s="8">
        <f>IF(Applications!A85="","","Reader 2")</f>
        <v/>
      </c>
      <c r="D169" s="8" t="n"/>
      <c r="E169" s="8" t="n"/>
      <c r="F169" s="8" t="n"/>
      <c r="G169" s="8">
        <f>IF(COUNT(D169:F169)=0,"",SUM(D169:F169))</f>
        <v/>
      </c>
      <c r="H169" s="9" t="n"/>
    </row>
    <row r="170">
      <c r="A170" s="8">
        <f>IF(Applications!A86="","",Applications!A86)</f>
        <v/>
      </c>
      <c r="B170" s="8">
        <f>IF(Applications!A86="","",Applications!C86)</f>
        <v/>
      </c>
      <c r="C170" s="8">
        <f>IF(Applications!A86="","","Reader 1")</f>
        <v/>
      </c>
      <c r="D170" s="8" t="n"/>
      <c r="E170" s="8" t="n"/>
      <c r="F170" s="8" t="n"/>
      <c r="G170" s="8">
        <f>IF(COUNT(D170:F170)=0,"",SUM(D170:F170))</f>
        <v/>
      </c>
      <c r="H170" s="9" t="n"/>
    </row>
    <row r="171">
      <c r="A171" s="8">
        <f>IF(Applications!A86="","",Applications!A86)</f>
        <v/>
      </c>
      <c r="B171" s="8">
        <f>IF(Applications!A86="","",Applications!C86)</f>
        <v/>
      </c>
      <c r="C171" s="8">
        <f>IF(Applications!A86="","","Reader 2")</f>
        <v/>
      </c>
      <c r="D171" s="8" t="n"/>
      <c r="E171" s="8" t="n"/>
      <c r="F171" s="8" t="n"/>
      <c r="G171" s="8">
        <f>IF(COUNT(D171:F171)=0,"",SUM(D171:F171))</f>
        <v/>
      </c>
      <c r="H171" s="9" t="n"/>
    </row>
    <row r="172">
      <c r="A172" s="8">
        <f>IF(Applications!A87="","",Applications!A87)</f>
        <v/>
      </c>
      <c r="B172" s="8">
        <f>IF(Applications!A87="","",Applications!C87)</f>
        <v/>
      </c>
      <c r="C172" s="8">
        <f>IF(Applications!A87="","","Reader 1")</f>
        <v/>
      </c>
      <c r="D172" s="8" t="n"/>
      <c r="E172" s="8" t="n"/>
      <c r="F172" s="8" t="n"/>
      <c r="G172" s="8">
        <f>IF(COUNT(D172:F172)=0,"",SUM(D172:F172))</f>
        <v/>
      </c>
      <c r="H172" s="9" t="n"/>
    </row>
    <row r="173">
      <c r="A173" s="8">
        <f>IF(Applications!A87="","",Applications!A87)</f>
        <v/>
      </c>
      <c r="B173" s="8">
        <f>IF(Applications!A87="","",Applications!C87)</f>
        <v/>
      </c>
      <c r="C173" s="8">
        <f>IF(Applications!A87="","","Reader 2")</f>
        <v/>
      </c>
      <c r="D173" s="8" t="n"/>
      <c r="E173" s="8" t="n"/>
      <c r="F173" s="8" t="n"/>
      <c r="G173" s="8">
        <f>IF(COUNT(D173:F173)=0,"",SUM(D173:F173))</f>
        <v/>
      </c>
      <c r="H173" s="9" t="n"/>
    </row>
    <row r="174">
      <c r="A174" s="8">
        <f>IF(Applications!A88="","",Applications!A88)</f>
        <v/>
      </c>
      <c r="B174" s="8">
        <f>IF(Applications!A88="","",Applications!C88)</f>
        <v/>
      </c>
      <c r="C174" s="8">
        <f>IF(Applications!A88="","","Reader 1")</f>
        <v/>
      </c>
      <c r="D174" s="8" t="n"/>
      <c r="E174" s="8" t="n"/>
      <c r="F174" s="8" t="n"/>
      <c r="G174" s="8">
        <f>IF(COUNT(D174:F174)=0,"",SUM(D174:F174))</f>
        <v/>
      </c>
      <c r="H174" s="9" t="n"/>
    </row>
    <row r="175">
      <c r="A175" s="8">
        <f>IF(Applications!A88="","",Applications!A88)</f>
        <v/>
      </c>
      <c r="B175" s="8">
        <f>IF(Applications!A88="","",Applications!C88)</f>
        <v/>
      </c>
      <c r="C175" s="8">
        <f>IF(Applications!A88="","","Reader 2")</f>
        <v/>
      </c>
      <c r="D175" s="8" t="n"/>
      <c r="E175" s="8" t="n"/>
      <c r="F175" s="8" t="n"/>
      <c r="G175" s="8">
        <f>IF(COUNT(D175:F175)=0,"",SUM(D175:F175))</f>
        <v/>
      </c>
      <c r="H175" s="9" t="n"/>
    </row>
    <row r="176">
      <c r="A176" s="8">
        <f>IF(Applications!A89="","",Applications!A89)</f>
        <v/>
      </c>
      <c r="B176" s="8">
        <f>IF(Applications!A89="","",Applications!C89)</f>
        <v/>
      </c>
      <c r="C176" s="8">
        <f>IF(Applications!A89="","","Reader 1")</f>
        <v/>
      </c>
      <c r="D176" s="8" t="n"/>
      <c r="E176" s="8" t="n"/>
      <c r="F176" s="8" t="n"/>
      <c r="G176" s="8">
        <f>IF(COUNT(D176:F176)=0,"",SUM(D176:F176))</f>
        <v/>
      </c>
      <c r="H176" s="9" t="n"/>
    </row>
    <row r="177">
      <c r="A177" s="8">
        <f>IF(Applications!A89="","",Applications!A89)</f>
        <v/>
      </c>
      <c r="B177" s="8">
        <f>IF(Applications!A89="","",Applications!C89)</f>
        <v/>
      </c>
      <c r="C177" s="8">
        <f>IF(Applications!A89="","","Reader 2")</f>
        <v/>
      </c>
      <c r="D177" s="8" t="n"/>
      <c r="E177" s="8" t="n"/>
      <c r="F177" s="8" t="n"/>
      <c r="G177" s="8">
        <f>IF(COUNT(D177:F177)=0,"",SUM(D177:F177))</f>
        <v/>
      </c>
      <c r="H177" s="9" t="n"/>
    </row>
    <row r="178">
      <c r="A178" s="8">
        <f>IF(Applications!A90="","",Applications!A90)</f>
        <v/>
      </c>
      <c r="B178" s="8">
        <f>IF(Applications!A90="","",Applications!C90)</f>
        <v/>
      </c>
      <c r="C178" s="8">
        <f>IF(Applications!A90="","","Reader 1")</f>
        <v/>
      </c>
      <c r="D178" s="8" t="n"/>
      <c r="E178" s="8" t="n"/>
      <c r="F178" s="8" t="n"/>
      <c r="G178" s="8">
        <f>IF(COUNT(D178:F178)=0,"",SUM(D178:F178))</f>
        <v/>
      </c>
      <c r="H178" s="9" t="n"/>
    </row>
    <row r="179">
      <c r="A179" s="8">
        <f>IF(Applications!A90="","",Applications!A90)</f>
        <v/>
      </c>
      <c r="B179" s="8">
        <f>IF(Applications!A90="","",Applications!C90)</f>
        <v/>
      </c>
      <c r="C179" s="8">
        <f>IF(Applications!A90="","","Reader 2")</f>
        <v/>
      </c>
      <c r="D179" s="8" t="n"/>
      <c r="E179" s="8" t="n"/>
      <c r="F179" s="8" t="n"/>
      <c r="G179" s="8">
        <f>IF(COUNT(D179:F179)=0,"",SUM(D179:F179))</f>
        <v/>
      </c>
      <c r="H179" s="9" t="n"/>
    </row>
    <row r="180">
      <c r="A180" s="8">
        <f>IF(Applications!A91="","",Applications!A91)</f>
        <v/>
      </c>
      <c r="B180" s="8">
        <f>IF(Applications!A91="","",Applications!C91)</f>
        <v/>
      </c>
      <c r="C180" s="8">
        <f>IF(Applications!A91="","","Reader 1")</f>
        <v/>
      </c>
      <c r="D180" s="8" t="n"/>
      <c r="E180" s="8" t="n"/>
      <c r="F180" s="8" t="n"/>
      <c r="G180" s="8">
        <f>IF(COUNT(D180:F180)=0,"",SUM(D180:F180))</f>
        <v/>
      </c>
      <c r="H180" s="9" t="n"/>
    </row>
    <row r="181">
      <c r="A181" s="8">
        <f>IF(Applications!A91="","",Applications!A91)</f>
        <v/>
      </c>
      <c r="B181" s="8">
        <f>IF(Applications!A91="","",Applications!C91)</f>
        <v/>
      </c>
      <c r="C181" s="8">
        <f>IF(Applications!A91="","","Reader 2")</f>
        <v/>
      </c>
      <c r="D181" s="8" t="n"/>
      <c r="E181" s="8" t="n"/>
      <c r="F181" s="8" t="n"/>
      <c r="G181" s="8">
        <f>IF(COUNT(D181:F181)=0,"",SUM(D181:F181))</f>
        <v/>
      </c>
      <c r="H181" s="9" t="n"/>
    </row>
    <row r="182">
      <c r="A182" s="8">
        <f>IF(Applications!A92="","",Applications!A92)</f>
        <v/>
      </c>
      <c r="B182" s="8">
        <f>IF(Applications!A92="","",Applications!C92)</f>
        <v/>
      </c>
      <c r="C182" s="8">
        <f>IF(Applications!A92="","","Reader 1")</f>
        <v/>
      </c>
      <c r="D182" s="8" t="n"/>
      <c r="E182" s="8" t="n"/>
      <c r="F182" s="8" t="n"/>
      <c r="G182" s="8">
        <f>IF(COUNT(D182:F182)=0,"",SUM(D182:F182))</f>
        <v/>
      </c>
      <c r="H182" s="9" t="n"/>
    </row>
    <row r="183">
      <c r="A183" s="8">
        <f>IF(Applications!A92="","",Applications!A92)</f>
        <v/>
      </c>
      <c r="B183" s="8">
        <f>IF(Applications!A92="","",Applications!C92)</f>
        <v/>
      </c>
      <c r="C183" s="8">
        <f>IF(Applications!A92="","","Reader 2")</f>
        <v/>
      </c>
      <c r="D183" s="8" t="n"/>
      <c r="E183" s="8" t="n"/>
      <c r="F183" s="8" t="n"/>
      <c r="G183" s="8">
        <f>IF(COUNT(D183:F183)=0,"",SUM(D183:F183))</f>
        <v/>
      </c>
      <c r="H183" s="9" t="n"/>
    </row>
    <row r="184">
      <c r="A184" s="8">
        <f>IF(Applications!A93="","",Applications!A93)</f>
        <v/>
      </c>
      <c r="B184" s="8">
        <f>IF(Applications!A93="","",Applications!C93)</f>
        <v/>
      </c>
      <c r="C184" s="8">
        <f>IF(Applications!A93="","","Reader 1")</f>
        <v/>
      </c>
      <c r="D184" s="8" t="n"/>
      <c r="E184" s="8" t="n"/>
      <c r="F184" s="8" t="n"/>
      <c r="G184" s="8">
        <f>IF(COUNT(D184:F184)=0,"",SUM(D184:F184))</f>
        <v/>
      </c>
      <c r="H184" s="9" t="n"/>
    </row>
    <row r="185">
      <c r="A185" s="8">
        <f>IF(Applications!A93="","",Applications!A93)</f>
        <v/>
      </c>
      <c r="B185" s="8">
        <f>IF(Applications!A93="","",Applications!C93)</f>
        <v/>
      </c>
      <c r="C185" s="8">
        <f>IF(Applications!A93="","","Reader 2")</f>
        <v/>
      </c>
      <c r="D185" s="8" t="n"/>
      <c r="E185" s="8" t="n"/>
      <c r="F185" s="8" t="n"/>
      <c r="G185" s="8">
        <f>IF(COUNT(D185:F185)=0,"",SUM(D185:F185))</f>
        <v/>
      </c>
      <c r="H185" s="9" t="n"/>
    </row>
    <row r="186">
      <c r="A186" s="8">
        <f>IF(Applications!A94="","",Applications!A94)</f>
        <v/>
      </c>
      <c r="B186" s="8">
        <f>IF(Applications!A94="","",Applications!C94)</f>
        <v/>
      </c>
      <c r="C186" s="8">
        <f>IF(Applications!A94="","","Reader 1")</f>
        <v/>
      </c>
      <c r="D186" s="8" t="n"/>
      <c r="E186" s="8" t="n"/>
      <c r="F186" s="8" t="n"/>
      <c r="G186" s="8">
        <f>IF(COUNT(D186:F186)=0,"",SUM(D186:F186))</f>
        <v/>
      </c>
      <c r="H186" s="9" t="n"/>
    </row>
    <row r="187">
      <c r="A187" s="8">
        <f>IF(Applications!A94="","",Applications!A94)</f>
        <v/>
      </c>
      <c r="B187" s="8">
        <f>IF(Applications!A94="","",Applications!C94)</f>
        <v/>
      </c>
      <c r="C187" s="8">
        <f>IF(Applications!A94="","","Reader 2")</f>
        <v/>
      </c>
      <c r="D187" s="8" t="n"/>
      <c r="E187" s="8" t="n"/>
      <c r="F187" s="8" t="n"/>
      <c r="G187" s="8">
        <f>IF(COUNT(D187:F187)=0,"",SUM(D187:F187))</f>
        <v/>
      </c>
      <c r="H187" s="9" t="n"/>
    </row>
    <row r="188">
      <c r="A188" s="8">
        <f>IF(Applications!A95="","",Applications!A95)</f>
        <v/>
      </c>
      <c r="B188" s="8">
        <f>IF(Applications!A95="","",Applications!C95)</f>
        <v/>
      </c>
      <c r="C188" s="8">
        <f>IF(Applications!A95="","","Reader 1")</f>
        <v/>
      </c>
      <c r="D188" s="8" t="n"/>
      <c r="E188" s="8" t="n"/>
      <c r="F188" s="8" t="n"/>
      <c r="G188" s="8">
        <f>IF(COUNT(D188:F188)=0,"",SUM(D188:F188))</f>
        <v/>
      </c>
      <c r="H188" s="9" t="n"/>
    </row>
    <row r="189">
      <c r="A189" s="8">
        <f>IF(Applications!A95="","",Applications!A95)</f>
        <v/>
      </c>
      <c r="B189" s="8">
        <f>IF(Applications!A95="","",Applications!C95)</f>
        <v/>
      </c>
      <c r="C189" s="8">
        <f>IF(Applications!A95="","","Reader 2")</f>
        <v/>
      </c>
      <c r="D189" s="8" t="n"/>
      <c r="E189" s="8" t="n"/>
      <c r="F189" s="8" t="n"/>
      <c r="G189" s="8">
        <f>IF(COUNT(D189:F189)=0,"",SUM(D189:F189))</f>
        <v/>
      </c>
      <c r="H189" s="9" t="n"/>
    </row>
    <row r="190">
      <c r="A190" s="8">
        <f>IF(Applications!A96="","",Applications!A96)</f>
        <v/>
      </c>
      <c r="B190" s="8">
        <f>IF(Applications!A96="","",Applications!C96)</f>
        <v/>
      </c>
      <c r="C190" s="8">
        <f>IF(Applications!A96="","","Reader 1")</f>
        <v/>
      </c>
      <c r="D190" s="8" t="n"/>
      <c r="E190" s="8" t="n"/>
      <c r="F190" s="8" t="n"/>
      <c r="G190" s="8">
        <f>IF(COUNT(D190:F190)=0,"",SUM(D190:F190))</f>
        <v/>
      </c>
      <c r="H190" s="9" t="n"/>
    </row>
    <row r="191">
      <c r="A191" s="8">
        <f>IF(Applications!A96="","",Applications!A96)</f>
        <v/>
      </c>
      <c r="B191" s="8">
        <f>IF(Applications!A96="","",Applications!C96)</f>
        <v/>
      </c>
      <c r="C191" s="8">
        <f>IF(Applications!A96="","","Reader 2")</f>
        <v/>
      </c>
      <c r="D191" s="8" t="n"/>
      <c r="E191" s="8" t="n"/>
      <c r="F191" s="8" t="n"/>
      <c r="G191" s="8">
        <f>IF(COUNT(D191:F191)=0,"",SUM(D191:F191))</f>
        <v/>
      </c>
      <c r="H191" s="9" t="n"/>
    </row>
    <row r="192">
      <c r="A192" s="8">
        <f>IF(Applications!A97="","",Applications!A97)</f>
        <v/>
      </c>
      <c r="B192" s="8">
        <f>IF(Applications!A97="","",Applications!C97)</f>
        <v/>
      </c>
      <c r="C192" s="8">
        <f>IF(Applications!A97="","","Reader 1")</f>
        <v/>
      </c>
      <c r="D192" s="8" t="n"/>
      <c r="E192" s="8" t="n"/>
      <c r="F192" s="8" t="n"/>
      <c r="G192" s="8">
        <f>IF(COUNT(D192:F192)=0,"",SUM(D192:F192))</f>
        <v/>
      </c>
      <c r="H192" s="9" t="n"/>
    </row>
    <row r="193">
      <c r="A193" s="8">
        <f>IF(Applications!A97="","",Applications!A97)</f>
        <v/>
      </c>
      <c r="B193" s="8">
        <f>IF(Applications!A97="","",Applications!C97)</f>
        <v/>
      </c>
      <c r="C193" s="8">
        <f>IF(Applications!A97="","","Reader 2")</f>
        <v/>
      </c>
      <c r="D193" s="8" t="n"/>
      <c r="E193" s="8" t="n"/>
      <c r="F193" s="8" t="n"/>
      <c r="G193" s="8">
        <f>IF(COUNT(D193:F193)=0,"",SUM(D193:F193))</f>
        <v/>
      </c>
      <c r="H193" s="9" t="n"/>
    </row>
    <row r="194">
      <c r="A194" s="8">
        <f>IF(Applications!A98="","",Applications!A98)</f>
        <v/>
      </c>
      <c r="B194" s="8">
        <f>IF(Applications!A98="","",Applications!C98)</f>
        <v/>
      </c>
      <c r="C194" s="8">
        <f>IF(Applications!A98="","","Reader 1")</f>
        <v/>
      </c>
      <c r="D194" s="8" t="n"/>
      <c r="E194" s="8" t="n"/>
      <c r="F194" s="8" t="n"/>
      <c r="G194" s="8">
        <f>IF(COUNT(D194:F194)=0,"",SUM(D194:F194))</f>
        <v/>
      </c>
      <c r="H194" s="9" t="n"/>
    </row>
    <row r="195">
      <c r="A195" s="8">
        <f>IF(Applications!A98="","",Applications!A98)</f>
        <v/>
      </c>
      <c r="B195" s="8">
        <f>IF(Applications!A98="","",Applications!C98)</f>
        <v/>
      </c>
      <c r="C195" s="8">
        <f>IF(Applications!A98="","","Reader 2")</f>
        <v/>
      </c>
      <c r="D195" s="8" t="n"/>
      <c r="E195" s="8" t="n"/>
      <c r="F195" s="8" t="n"/>
      <c r="G195" s="8">
        <f>IF(COUNT(D195:F195)=0,"",SUM(D195:F195))</f>
        <v/>
      </c>
      <c r="H195" s="9" t="n"/>
    </row>
    <row r="196">
      <c r="A196" s="8">
        <f>IF(Applications!A99="","",Applications!A99)</f>
        <v/>
      </c>
      <c r="B196" s="8">
        <f>IF(Applications!A99="","",Applications!C99)</f>
        <v/>
      </c>
      <c r="C196" s="8">
        <f>IF(Applications!A99="","","Reader 1")</f>
        <v/>
      </c>
      <c r="D196" s="8" t="n"/>
      <c r="E196" s="8" t="n"/>
      <c r="F196" s="8" t="n"/>
      <c r="G196" s="8">
        <f>IF(COUNT(D196:F196)=0,"",SUM(D196:F196))</f>
        <v/>
      </c>
      <c r="H196" s="9" t="n"/>
    </row>
    <row r="197">
      <c r="A197" s="8">
        <f>IF(Applications!A99="","",Applications!A99)</f>
        <v/>
      </c>
      <c r="B197" s="8">
        <f>IF(Applications!A99="","",Applications!C99)</f>
        <v/>
      </c>
      <c r="C197" s="8">
        <f>IF(Applications!A99="","","Reader 2")</f>
        <v/>
      </c>
      <c r="D197" s="8" t="n"/>
      <c r="E197" s="8" t="n"/>
      <c r="F197" s="8" t="n"/>
      <c r="G197" s="8">
        <f>IF(COUNT(D197:F197)=0,"",SUM(D197:F197))</f>
        <v/>
      </c>
      <c r="H197" s="9" t="n"/>
    </row>
    <row r="198">
      <c r="A198" s="8">
        <f>IF(Applications!A100="","",Applications!A100)</f>
        <v/>
      </c>
      <c r="B198" s="8">
        <f>IF(Applications!A100="","",Applications!C100)</f>
        <v/>
      </c>
      <c r="C198" s="8">
        <f>IF(Applications!A100="","","Reader 1")</f>
        <v/>
      </c>
      <c r="D198" s="8" t="n"/>
      <c r="E198" s="8" t="n"/>
      <c r="F198" s="8" t="n"/>
      <c r="G198" s="8">
        <f>IF(COUNT(D198:F198)=0,"",SUM(D198:F198))</f>
        <v/>
      </c>
      <c r="H198" s="9" t="n"/>
    </row>
    <row r="199">
      <c r="A199" s="8">
        <f>IF(Applications!A100="","",Applications!A100)</f>
        <v/>
      </c>
      <c r="B199" s="8">
        <f>IF(Applications!A100="","",Applications!C100)</f>
        <v/>
      </c>
      <c r="C199" s="8">
        <f>IF(Applications!A100="","","Reader 2")</f>
        <v/>
      </c>
      <c r="D199" s="8" t="n"/>
      <c r="E199" s="8" t="n"/>
      <c r="F199" s="8" t="n"/>
      <c r="G199" s="8">
        <f>IF(COUNT(D199:F199)=0,"",SUM(D199:F199))</f>
        <v/>
      </c>
      <c r="H199" s="9" t="n"/>
    </row>
    <row r="200">
      <c r="A200" s="8">
        <f>IF(Applications!A101="","",Applications!A101)</f>
        <v/>
      </c>
      <c r="B200" s="8">
        <f>IF(Applications!A101="","",Applications!C101)</f>
        <v/>
      </c>
      <c r="C200" s="8">
        <f>IF(Applications!A101="","","Reader 1")</f>
        <v/>
      </c>
      <c r="D200" s="8" t="n"/>
      <c r="E200" s="8" t="n"/>
      <c r="F200" s="8" t="n"/>
      <c r="G200" s="8">
        <f>IF(COUNT(D200:F200)=0,"",SUM(D200:F200))</f>
        <v/>
      </c>
      <c r="H200" s="9" t="n"/>
    </row>
    <row r="201">
      <c r="A201" s="8">
        <f>IF(Applications!A101="","",Applications!A101)</f>
        <v/>
      </c>
      <c r="B201" s="8">
        <f>IF(Applications!A101="","",Applications!C101)</f>
        <v/>
      </c>
      <c r="C201" s="8">
        <f>IF(Applications!A101="","","Reader 2")</f>
        <v/>
      </c>
      <c r="D201" s="8" t="n"/>
      <c r="E201" s="8" t="n"/>
      <c r="F201" s="8" t="n"/>
      <c r="G201" s="8">
        <f>IF(COUNT(D201:F201)=0,"",SUM(D201:F201))</f>
        <v/>
      </c>
      <c r="H201" s="9" t="n"/>
    </row>
    <row r="202">
      <c r="A202" s="8">
        <f>IF(Applications!A102="","",Applications!A102)</f>
        <v/>
      </c>
      <c r="B202" s="8">
        <f>IF(Applications!A102="","",Applications!C102)</f>
        <v/>
      </c>
      <c r="C202" s="8">
        <f>IF(Applications!A102="","","Reader 1")</f>
        <v/>
      </c>
      <c r="D202" s="8" t="n"/>
      <c r="E202" s="8" t="n"/>
      <c r="F202" s="8" t="n"/>
      <c r="G202" s="8">
        <f>IF(COUNT(D202:F202)=0,"",SUM(D202:F202))</f>
        <v/>
      </c>
      <c r="H202" s="9" t="n"/>
    </row>
    <row r="203">
      <c r="A203" s="8">
        <f>IF(Applications!A102="","",Applications!A102)</f>
        <v/>
      </c>
      <c r="B203" s="8">
        <f>IF(Applications!A102="","",Applications!C102)</f>
        <v/>
      </c>
      <c r="C203" s="8">
        <f>IF(Applications!A102="","","Reader 2")</f>
        <v/>
      </c>
      <c r="D203" s="8" t="n"/>
      <c r="E203" s="8" t="n"/>
      <c r="F203" s="8" t="n"/>
      <c r="G203" s="8">
        <f>IF(COUNT(D203:F203)=0,"",SUM(D203:F203))</f>
        <v/>
      </c>
      <c r="H203" s="9" t="n"/>
    </row>
    <row r="204">
      <c r="A204" s="8">
        <f>IF(Applications!A103="","",Applications!A103)</f>
        <v/>
      </c>
      <c r="B204" s="8">
        <f>IF(Applications!A103="","",Applications!C103)</f>
        <v/>
      </c>
      <c r="C204" s="8">
        <f>IF(Applications!A103="","","Reader 1")</f>
        <v/>
      </c>
      <c r="D204" s="8" t="n"/>
      <c r="E204" s="8" t="n"/>
      <c r="F204" s="8" t="n"/>
      <c r="G204" s="8">
        <f>IF(COUNT(D204:F204)=0,"",SUM(D204:F204))</f>
        <v/>
      </c>
      <c r="H204" s="9" t="n"/>
    </row>
    <row r="205">
      <c r="A205" s="8">
        <f>IF(Applications!A103="","",Applications!A103)</f>
        <v/>
      </c>
      <c r="B205" s="8">
        <f>IF(Applications!A103="","",Applications!C103)</f>
        <v/>
      </c>
      <c r="C205" s="8">
        <f>IF(Applications!A103="","","Reader 2")</f>
        <v/>
      </c>
      <c r="D205" s="8" t="n"/>
      <c r="E205" s="8" t="n"/>
      <c r="F205" s="8" t="n"/>
      <c r="G205" s="8">
        <f>IF(COUNT(D205:F205)=0,"",SUM(D205:F205))</f>
        <v/>
      </c>
      <c r="H205" s="9" t="n"/>
    </row>
    <row r="206">
      <c r="A206" s="8">
        <f>IF(Applications!A104="","",Applications!A104)</f>
        <v/>
      </c>
      <c r="B206" s="8">
        <f>IF(Applications!A104="","",Applications!C104)</f>
        <v/>
      </c>
      <c r="C206" s="8">
        <f>IF(Applications!A104="","","Reader 1")</f>
        <v/>
      </c>
      <c r="D206" s="8" t="n"/>
      <c r="E206" s="8" t="n"/>
      <c r="F206" s="8" t="n"/>
      <c r="G206" s="8">
        <f>IF(COUNT(D206:F206)=0,"",SUM(D206:F206))</f>
        <v/>
      </c>
      <c r="H206" s="9" t="n"/>
    </row>
    <row r="207">
      <c r="A207" s="8">
        <f>IF(Applications!A104="","",Applications!A104)</f>
        <v/>
      </c>
      <c r="B207" s="8">
        <f>IF(Applications!A104="","",Applications!C104)</f>
        <v/>
      </c>
      <c r="C207" s="8">
        <f>IF(Applications!A104="","","Reader 2")</f>
        <v/>
      </c>
      <c r="D207" s="8" t="n"/>
      <c r="E207" s="8" t="n"/>
      <c r="F207" s="8" t="n"/>
      <c r="G207" s="8">
        <f>IF(COUNT(D207:F207)=0,"",SUM(D207:F207))</f>
        <v/>
      </c>
      <c r="H207" s="9" t="n"/>
    </row>
    <row r="208">
      <c r="A208" s="8">
        <f>IF(Applications!A105="","",Applications!A105)</f>
        <v/>
      </c>
      <c r="B208" s="8">
        <f>IF(Applications!A105="","",Applications!C105)</f>
        <v/>
      </c>
      <c r="C208" s="8">
        <f>IF(Applications!A105="","","Reader 1")</f>
        <v/>
      </c>
      <c r="D208" s="8" t="n"/>
      <c r="E208" s="8" t="n"/>
      <c r="F208" s="8" t="n"/>
      <c r="G208" s="8">
        <f>IF(COUNT(D208:F208)=0,"",SUM(D208:F208))</f>
        <v/>
      </c>
      <c r="H208" s="9" t="n"/>
    </row>
    <row r="209">
      <c r="A209" s="8">
        <f>IF(Applications!A105="","",Applications!A105)</f>
        <v/>
      </c>
      <c r="B209" s="8">
        <f>IF(Applications!A105="","",Applications!C105)</f>
        <v/>
      </c>
      <c r="C209" s="8">
        <f>IF(Applications!A105="","","Reader 2")</f>
        <v/>
      </c>
      <c r="D209" s="8" t="n"/>
      <c r="E209" s="8" t="n"/>
      <c r="F209" s="8" t="n"/>
      <c r="G209" s="8">
        <f>IF(COUNT(D209:F209)=0,"",SUM(D209:F209))</f>
        <v/>
      </c>
      <c r="H209" s="9" t="n"/>
    </row>
    <row r="210">
      <c r="A210" s="8">
        <f>IF(Applications!A106="","",Applications!A106)</f>
        <v/>
      </c>
      <c r="B210" s="8">
        <f>IF(Applications!A106="","",Applications!C106)</f>
        <v/>
      </c>
      <c r="C210" s="8">
        <f>IF(Applications!A106="","","Reader 1")</f>
        <v/>
      </c>
      <c r="D210" s="8" t="n"/>
      <c r="E210" s="8" t="n"/>
      <c r="F210" s="8" t="n"/>
      <c r="G210" s="8">
        <f>IF(COUNT(D210:F210)=0,"",SUM(D210:F210))</f>
        <v/>
      </c>
      <c r="H210" s="9" t="n"/>
    </row>
    <row r="211">
      <c r="A211" s="8">
        <f>IF(Applications!A106="","",Applications!A106)</f>
        <v/>
      </c>
      <c r="B211" s="8">
        <f>IF(Applications!A106="","",Applications!C106)</f>
        <v/>
      </c>
      <c r="C211" s="8">
        <f>IF(Applications!A106="","","Reader 2")</f>
        <v/>
      </c>
      <c r="D211" s="8" t="n"/>
      <c r="E211" s="8" t="n"/>
      <c r="F211" s="8" t="n"/>
      <c r="G211" s="8">
        <f>IF(COUNT(D211:F211)=0,"",SUM(D211:F211))</f>
        <v/>
      </c>
      <c r="H211" s="9" t="n"/>
    </row>
    <row r="212">
      <c r="A212" s="8">
        <f>IF(Applications!A107="","",Applications!A107)</f>
        <v/>
      </c>
      <c r="B212" s="8">
        <f>IF(Applications!A107="","",Applications!C107)</f>
        <v/>
      </c>
      <c r="C212" s="8">
        <f>IF(Applications!A107="","","Reader 1")</f>
        <v/>
      </c>
      <c r="D212" s="8" t="n"/>
      <c r="E212" s="8" t="n"/>
      <c r="F212" s="8" t="n"/>
      <c r="G212" s="8">
        <f>IF(COUNT(D212:F212)=0,"",SUM(D212:F212))</f>
        <v/>
      </c>
      <c r="H212" s="9" t="n"/>
    </row>
    <row r="213">
      <c r="A213" s="8">
        <f>IF(Applications!A107="","",Applications!A107)</f>
        <v/>
      </c>
      <c r="B213" s="8">
        <f>IF(Applications!A107="","",Applications!C107)</f>
        <v/>
      </c>
      <c r="C213" s="8">
        <f>IF(Applications!A107="","","Reader 2")</f>
        <v/>
      </c>
      <c r="D213" s="8" t="n"/>
      <c r="E213" s="8" t="n"/>
      <c r="F213" s="8" t="n"/>
      <c r="G213" s="8">
        <f>IF(COUNT(D213:F213)=0,"",SUM(D213:F213))</f>
        <v/>
      </c>
      <c r="H213" s="9" t="n"/>
    </row>
    <row r="214">
      <c r="A214" s="8">
        <f>IF(Applications!A108="","",Applications!A108)</f>
        <v/>
      </c>
      <c r="B214" s="8">
        <f>IF(Applications!A108="","",Applications!C108)</f>
        <v/>
      </c>
      <c r="C214" s="8">
        <f>IF(Applications!A108="","","Reader 1")</f>
        <v/>
      </c>
      <c r="D214" s="8" t="n"/>
      <c r="E214" s="8" t="n"/>
      <c r="F214" s="8" t="n"/>
      <c r="G214" s="8">
        <f>IF(COUNT(D214:F214)=0,"",SUM(D214:F214))</f>
        <v/>
      </c>
      <c r="H214" s="9" t="n"/>
    </row>
    <row r="215">
      <c r="A215" s="8">
        <f>IF(Applications!A108="","",Applications!A108)</f>
        <v/>
      </c>
      <c r="B215" s="8">
        <f>IF(Applications!A108="","",Applications!C108)</f>
        <v/>
      </c>
      <c r="C215" s="8">
        <f>IF(Applications!A108="","","Reader 2")</f>
        <v/>
      </c>
      <c r="D215" s="8" t="n"/>
      <c r="E215" s="8" t="n"/>
      <c r="F215" s="8" t="n"/>
      <c r="G215" s="8">
        <f>IF(COUNT(D215:F215)=0,"",SUM(D215:F215))</f>
        <v/>
      </c>
      <c r="H215" s="9" t="n"/>
    </row>
    <row r="216">
      <c r="A216" s="8">
        <f>IF(Applications!A109="","",Applications!A109)</f>
        <v/>
      </c>
      <c r="B216" s="8">
        <f>IF(Applications!A109="","",Applications!C109)</f>
        <v/>
      </c>
      <c r="C216" s="8">
        <f>IF(Applications!A109="","","Reader 1")</f>
        <v/>
      </c>
      <c r="D216" s="8" t="n"/>
      <c r="E216" s="8" t="n"/>
      <c r="F216" s="8" t="n"/>
      <c r="G216" s="8">
        <f>IF(COUNT(D216:F216)=0,"",SUM(D216:F216))</f>
        <v/>
      </c>
      <c r="H216" s="9" t="n"/>
    </row>
    <row r="217">
      <c r="A217" s="8">
        <f>IF(Applications!A109="","",Applications!A109)</f>
        <v/>
      </c>
      <c r="B217" s="8">
        <f>IF(Applications!A109="","",Applications!C109)</f>
        <v/>
      </c>
      <c r="C217" s="8">
        <f>IF(Applications!A109="","","Reader 2")</f>
        <v/>
      </c>
      <c r="D217" s="8" t="n"/>
      <c r="E217" s="8" t="n"/>
      <c r="F217" s="8" t="n"/>
      <c r="G217" s="8">
        <f>IF(COUNT(D217:F217)=0,"",SUM(D217:F217))</f>
        <v/>
      </c>
      <c r="H217" s="9" t="n"/>
    </row>
    <row r="218">
      <c r="A218" s="8">
        <f>IF(Applications!A110="","",Applications!A110)</f>
        <v/>
      </c>
      <c r="B218" s="8">
        <f>IF(Applications!A110="","",Applications!C110)</f>
        <v/>
      </c>
      <c r="C218" s="8">
        <f>IF(Applications!A110="","","Reader 1")</f>
        <v/>
      </c>
      <c r="D218" s="8" t="n"/>
      <c r="E218" s="8" t="n"/>
      <c r="F218" s="8" t="n"/>
      <c r="G218" s="8">
        <f>IF(COUNT(D218:F218)=0,"",SUM(D218:F218))</f>
        <v/>
      </c>
      <c r="H218" s="9" t="n"/>
    </row>
    <row r="219">
      <c r="A219" s="8">
        <f>IF(Applications!A110="","",Applications!A110)</f>
        <v/>
      </c>
      <c r="B219" s="8">
        <f>IF(Applications!A110="","",Applications!C110)</f>
        <v/>
      </c>
      <c r="C219" s="8">
        <f>IF(Applications!A110="","","Reader 2")</f>
        <v/>
      </c>
      <c r="D219" s="8" t="n"/>
      <c r="E219" s="8" t="n"/>
      <c r="F219" s="8" t="n"/>
      <c r="G219" s="8">
        <f>IF(COUNT(D219:F219)=0,"",SUM(D219:F219))</f>
        <v/>
      </c>
      <c r="H219" s="9" t="n"/>
    </row>
    <row r="220">
      <c r="A220" s="8">
        <f>IF(Applications!A111="","",Applications!A111)</f>
        <v/>
      </c>
      <c r="B220" s="8">
        <f>IF(Applications!A111="","",Applications!C111)</f>
        <v/>
      </c>
      <c r="C220" s="8">
        <f>IF(Applications!A111="","","Reader 1")</f>
        <v/>
      </c>
      <c r="D220" s="8" t="n"/>
      <c r="E220" s="8" t="n"/>
      <c r="F220" s="8" t="n"/>
      <c r="G220" s="8">
        <f>IF(COUNT(D220:F220)=0,"",SUM(D220:F220))</f>
        <v/>
      </c>
      <c r="H220" s="9" t="n"/>
    </row>
    <row r="221">
      <c r="A221" s="8">
        <f>IF(Applications!A111="","",Applications!A111)</f>
        <v/>
      </c>
      <c r="B221" s="8">
        <f>IF(Applications!A111="","",Applications!C111)</f>
        <v/>
      </c>
      <c r="C221" s="8">
        <f>IF(Applications!A111="","","Reader 2")</f>
        <v/>
      </c>
      <c r="D221" s="8" t="n"/>
      <c r="E221" s="8" t="n"/>
      <c r="F221" s="8" t="n"/>
      <c r="G221" s="8">
        <f>IF(COUNT(D221:F221)=0,"",SUM(D221:F221))</f>
        <v/>
      </c>
      <c r="H221" s="9" t="n"/>
    </row>
    <row r="222">
      <c r="A222" s="8">
        <f>IF(Applications!A112="","",Applications!A112)</f>
        <v/>
      </c>
      <c r="B222" s="8">
        <f>IF(Applications!A112="","",Applications!C112)</f>
        <v/>
      </c>
      <c r="C222" s="8">
        <f>IF(Applications!A112="","","Reader 1")</f>
        <v/>
      </c>
      <c r="D222" s="8" t="n"/>
      <c r="E222" s="8" t="n"/>
      <c r="F222" s="8" t="n"/>
      <c r="G222" s="8">
        <f>IF(COUNT(D222:F222)=0,"",SUM(D222:F222))</f>
        <v/>
      </c>
      <c r="H222" s="9" t="n"/>
    </row>
    <row r="223">
      <c r="A223" s="8">
        <f>IF(Applications!A112="","",Applications!A112)</f>
        <v/>
      </c>
      <c r="B223" s="8">
        <f>IF(Applications!A112="","",Applications!C112)</f>
        <v/>
      </c>
      <c r="C223" s="8">
        <f>IF(Applications!A112="","","Reader 2")</f>
        <v/>
      </c>
      <c r="D223" s="8" t="n"/>
      <c r="E223" s="8" t="n"/>
      <c r="F223" s="8" t="n"/>
      <c r="G223" s="8">
        <f>IF(COUNT(D223:F223)=0,"",SUM(D223:F223))</f>
        <v/>
      </c>
      <c r="H223" s="9" t="n"/>
    </row>
    <row r="224">
      <c r="A224" s="8">
        <f>IF(Applications!A113="","",Applications!A113)</f>
        <v/>
      </c>
      <c r="B224" s="8">
        <f>IF(Applications!A113="","",Applications!C113)</f>
        <v/>
      </c>
      <c r="C224" s="8">
        <f>IF(Applications!A113="","","Reader 1")</f>
        <v/>
      </c>
      <c r="D224" s="8" t="n"/>
      <c r="E224" s="8" t="n"/>
      <c r="F224" s="8" t="n"/>
      <c r="G224" s="8">
        <f>IF(COUNT(D224:F224)=0,"",SUM(D224:F224))</f>
        <v/>
      </c>
      <c r="H224" s="9" t="n"/>
    </row>
    <row r="225">
      <c r="A225" s="8">
        <f>IF(Applications!A113="","",Applications!A113)</f>
        <v/>
      </c>
      <c r="B225" s="8">
        <f>IF(Applications!A113="","",Applications!C113)</f>
        <v/>
      </c>
      <c r="C225" s="8">
        <f>IF(Applications!A113="","","Reader 2")</f>
        <v/>
      </c>
      <c r="D225" s="8" t="n"/>
      <c r="E225" s="8" t="n"/>
      <c r="F225" s="8" t="n"/>
      <c r="G225" s="8">
        <f>IF(COUNT(D225:F225)=0,"",SUM(D225:F225))</f>
        <v/>
      </c>
      <c r="H225" s="9" t="n"/>
    </row>
    <row r="226">
      <c r="A226" s="8">
        <f>IF(Applications!A114="","",Applications!A114)</f>
        <v/>
      </c>
      <c r="B226" s="8">
        <f>IF(Applications!A114="","",Applications!C114)</f>
        <v/>
      </c>
      <c r="C226" s="8">
        <f>IF(Applications!A114="","","Reader 1")</f>
        <v/>
      </c>
      <c r="D226" s="8" t="n"/>
      <c r="E226" s="8" t="n"/>
      <c r="F226" s="8" t="n"/>
      <c r="G226" s="8">
        <f>IF(COUNT(D226:F226)=0,"",SUM(D226:F226))</f>
        <v/>
      </c>
      <c r="H226" s="9" t="n"/>
    </row>
    <row r="227">
      <c r="A227" s="8">
        <f>IF(Applications!A114="","",Applications!A114)</f>
        <v/>
      </c>
      <c r="B227" s="8">
        <f>IF(Applications!A114="","",Applications!C114)</f>
        <v/>
      </c>
      <c r="C227" s="8">
        <f>IF(Applications!A114="","","Reader 2")</f>
        <v/>
      </c>
      <c r="D227" s="8" t="n"/>
      <c r="E227" s="8" t="n"/>
      <c r="F227" s="8" t="n"/>
      <c r="G227" s="8">
        <f>IF(COUNT(D227:F227)=0,"",SUM(D227:F227))</f>
        <v/>
      </c>
      <c r="H227" s="9" t="n"/>
    </row>
    <row r="228">
      <c r="A228" s="8">
        <f>IF(Applications!A115="","",Applications!A115)</f>
        <v/>
      </c>
      <c r="B228" s="8">
        <f>IF(Applications!A115="","",Applications!C115)</f>
        <v/>
      </c>
      <c r="C228" s="8">
        <f>IF(Applications!A115="","","Reader 1")</f>
        <v/>
      </c>
      <c r="D228" s="8" t="n"/>
      <c r="E228" s="8" t="n"/>
      <c r="F228" s="8" t="n"/>
      <c r="G228" s="8">
        <f>IF(COUNT(D228:F228)=0,"",SUM(D228:F228))</f>
        <v/>
      </c>
      <c r="H228" s="9" t="n"/>
    </row>
    <row r="229">
      <c r="A229" s="8">
        <f>IF(Applications!A115="","",Applications!A115)</f>
        <v/>
      </c>
      <c r="B229" s="8">
        <f>IF(Applications!A115="","",Applications!C115)</f>
        <v/>
      </c>
      <c r="C229" s="8">
        <f>IF(Applications!A115="","","Reader 2")</f>
        <v/>
      </c>
      <c r="D229" s="8" t="n"/>
      <c r="E229" s="8" t="n"/>
      <c r="F229" s="8" t="n"/>
      <c r="G229" s="8">
        <f>IF(COUNT(D229:F229)=0,"",SUM(D229:F229))</f>
        <v/>
      </c>
      <c r="H229" s="9" t="n"/>
    </row>
    <row r="230">
      <c r="A230" s="8">
        <f>IF(Applications!A116="","",Applications!A116)</f>
        <v/>
      </c>
      <c r="B230" s="8">
        <f>IF(Applications!A116="","",Applications!C116)</f>
        <v/>
      </c>
      <c r="C230" s="8">
        <f>IF(Applications!A116="","","Reader 1")</f>
        <v/>
      </c>
      <c r="D230" s="8" t="n"/>
      <c r="E230" s="8" t="n"/>
      <c r="F230" s="8" t="n"/>
      <c r="G230" s="8">
        <f>IF(COUNT(D230:F230)=0,"",SUM(D230:F230))</f>
        <v/>
      </c>
      <c r="H230" s="9" t="n"/>
    </row>
    <row r="231">
      <c r="A231" s="8">
        <f>IF(Applications!A116="","",Applications!A116)</f>
        <v/>
      </c>
      <c r="B231" s="8">
        <f>IF(Applications!A116="","",Applications!C116)</f>
        <v/>
      </c>
      <c r="C231" s="8">
        <f>IF(Applications!A116="","","Reader 2")</f>
        <v/>
      </c>
      <c r="D231" s="8" t="n"/>
      <c r="E231" s="8" t="n"/>
      <c r="F231" s="8" t="n"/>
      <c r="G231" s="8">
        <f>IF(COUNT(D231:F231)=0,"",SUM(D231:F231))</f>
        <v/>
      </c>
      <c r="H231" s="9" t="n"/>
    </row>
    <row r="232">
      <c r="A232" s="8">
        <f>IF(Applications!A117="","",Applications!A117)</f>
        <v/>
      </c>
      <c r="B232" s="8">
        <f>IF(Applications!A117="","",Applications!C117)</f>
        <v/>
      </c>
      <c r="C232" s="8">
        <f>IF(Applications!A117="","","Reader 1")</f>
        <v/>
      </c>
      <c r="D232" s="8" t="n"/>
      <c r="E232" s="8" t="n"/>
      <c r="F232" s="8" t="n"/>
      <c r="G232" s="8">
        <f>IF(COUNT(D232:F232)=0,"",SUM(D232:F232))</f>
        <v/>
      </c>
      <c r="H232" s="9" t="n"/>
    </row>
    <row r="233">
      <c r="A233" s="8">
        <f>IF(Applications!A117="","",Applications!A117)</f>
        <v/>
      </c>
      <c r="B233" s="8">
        <f>IF(Applications!A117="","",Applications!C117)</f>
        <v/>
      </c>
      <c r="C233" s="8">
        <f>IF(Applications!A117="","","Reader 2")</f>
        <v/>
      </c>
      <c r="D233" s="8" t="n"/>
      <c r="E233" s="8" t="n"/>
      <c r="F233" s="8" t="n"/>
      <c r="G233" s="8">
        <f>IF(COUNT(D233:F233)=0,"",SUM(D233:F233))</f>
        <v/>
      </c>
      <c r="H233" s="9" t="n"/>
    </row>
    <row r="234">
      <c r="A234" s="8">
        <f>IF(Applications!A118="","",Applications!A118)</f>
        <v/>
      </c>
      <c r="B234" s="8">
        <f>IF(Applications!A118="","",Applications!C118)</f>
        <v/>
      </c>
      <c r="C234" s="8">
        <f>IF(Applications!A118="","","Reader 1")</f>
        <v/>
      </c>
      <c r="D234" s="8" t="n"/>
      <c r="E234" s="8" t="n"/>
      <c r="F234" s="8" t="n"/>
      <c r="G234" s="8">
        <f>IF(COUNT(D234:F234)=0,"",SUM(D234:F234))</f>
        <v/>
      </c>
      <c r="H234" s="9" t="n"/>
    </row>
    <row r="235">
      <c r="A235" s="8">
        <f>IF(Applications!A118="","",Applications!A118)</f>
        <v/>
      </c>
      <c r="B235" s="8">
        <f>IF(Applications!A118="","",Applications!C118)</f>
        <v/>
      </c>
      <c r="C235" s="8">
        <f>IF(Applications!A118="","","Reader 2")</f>
        <v/>
      </c>
      <c r="D235" s="8" t="n"/>
      <c r="E235" s="8" t="n"/>
      <c r="F235" s="8" t="n"/>
      <c r="G235" s="8">
        <f>IF(COUNT(D235:F235)=0,"",SUM(D235:F235))</f>
        <v/>
      </c>
      <c r="H235" s="9" t="n"/>
    </row>
    <row r="236">
      <c r="A236" s="8">
        <f>IF(Applications!A119="","",Applications!A119)</f>
        <v/>
      </c>
      <c r="B236" s="8">
        <f>IF(Applications!A119="","",Applications!C119)</f>
        <v/>
      </c>
      <c r="C236" s="8">
        <f>IF(Applications!A119="","","Reader 1")</f>
        <v/>
      </c>
      <c r="D236" s="8" t="n"/>
      <c r="E236" s="8" t="n"/>
      <c r="F236" s="8" t="n"/>
      <c r="G236" s="8">
        <f>IF(COUNT(D236:F236)=0,"",SUM(D236:F236))</f>
        <v/>
      </c>
      <c r="H236" s="9" t="n"/>
    </row>
    <row r="237">
      <c r="A237" s="8">
        <f>IF(Applications!A119="","",Applications!A119)</f>
        <v/>
      </c>
      <c r="B237" s="8">
        <f>IF(Applications!A119="","",Applications!C119)</f>
        <v/>
      </c>
      <c r="C237" s="8">
        <f>IF(Applications!A119="","","Reader 2")</f>
        <v/>
      </c>
      <c r="D237" s="8" t="n"/>
      <c r="E237" s="8" t="n"/>
      <c r="F237" s="8" t="n"/>
      <c r="G237" s="8">
        <f>IF(COUNT(D237:F237)=0,"",SUM(D237:F237))</f>
        <v/>
      </c>
      <c r="H237" s="9" t="n"/>
    </row>
    <row r="238">
      <c r="A238" s="8">
        <f>IF(Applications!A120="","",Applications!A120)</f>
        <v/>
      </c>
      <c r="B238" s="8">
        <f>IF(Applications!A120="","",Applications!C120)</f>
        <v/>
      </c>
      <c r="C238" s="8">
        <f>IF(Applications!A120="","","Reader 1")</f>
        <v/>
      </c>
      <c r="D238" s="8" t="n"/>
      <c r="E238" s="8" t="n"/>
      <c r="F238" s="8" t="n"/>
      <c r="G238" s="8">
        <f>IF(COUNT(D238:F238)=0,"",SUM(D238:F238))</f>
        <v/>
      </c>
      <c r="H238" s="9" t="n"/>
    </row>
    <row r="239">
      <c r="A239" s="8">
        <f>IF(Applications!A120="","",Applications!A120)</f>
        <v/>
      </c>
      <c r="B239" s="8">
        <f>IF(Applications!A120="","",Applications!C120)</f>
        <v/>
      </c>
      <c r="C239" s="8">
        <f>IF(Applications!A120="","","Reader 2")</f>
        <v/>
      </c>
      <c r="D239" s="8" t="n"/>
      <c r="E239" s="8" t="n"/>
      <c r="F239" s="8" t="n"/>
      <c r="G239" s="8">
        <f>IF(COUNT(D239:F239)=0,"",SUM(D239:F239))</f>
        <v/>
      </c>
      <c r="H239" s="9" t="n"/>
    </row>
    <row r="240">
      <c r="A240" s="8">
        <f>IF(Applications!A121="","",Applications!A121)</f>
        <v/>
      </c>
      <c r="B240" s="8">
        <f>IF(Applications!A121="","",Applications!C121)</f>
        <v/>
      </c>
      <c r="C240" s="8">
        <f>IF(Applications!A121="","","Reader 1")</f>
        <v/>
      </c>
      <c r="D240" s="8" t="n"/>
      <c r="E240" s="8" t="n"/>
      <c r="F240" s="8" t="n"/>
      <c r="G240" s="8">
        <f>IF(COUNT(D240:F240)=0,"",SUM(D240:F240))</f>
        <v/>
      </c>
      <c r="H240" s="9" t="n"/>
    </row>
    <row r="241">
      <c r="A241" s="8">
        <f>IF(Applications!A121="","",Applications!A121)</f>
        <v/>
      </c>
      <c r="B241" s="8">
        <f>IF(Applications!A121="","",Applications!C121)</f>
        <v/>
      </c>
      <c r="C241" s="8">
        <f>IF(Applications!A121="","","Reader 2")</f>
        <v/>
      </c>
      <c r="D241" s="8" t="n"/>
      <c r="E241" s="8" t="n"/>
      <c r="F241" s="8" t="n"/>
      <c r="G241" s="8">
        <f>IF(COUNT(D241:F241)=0,"",SUM(D241:F241))</f>
        <v/>
      </c>
      <c r="H241" s="9" t="n"/>
    </row>
    <row r="242">
      <c r="A242" s="8">
        <f>IF(Applications!A122="","",Applications!A122)</f>
        <v/>
      </c>
      <c r="B242" s="8">
        <f>IF(Applications!A122="","",Applications!C122)</f>
        <v/>
      </c>
      <c r="C242" s="8">
        <f>IF(Applications!A122="","","Reader 1")</f>
        <v/>
      </c>
      <c r="D242" s="8" t="n"/>
      <c r="E242" s="8" t="n"/>
      <c r="F242" s="8" t="n"/>
      <c r="G242" s="8">
        <f>IF(COUNT(D242:F242)=0,"",SUM(D242:F242))</f>
        <v/>
      </c>
      <c r="H242" s="9" t="n"/>
    </row>
    <row r="243">
      <c r="A243" s="8">
        <f>IF(Applications!A122="","",Applications!A122)</f>
        <v/>
      </c>
      <c r="B243" s="8">
        <f>IF(Applications!A122="","",Applications!C122)</f>
        <v/>
      </c>
      <c r="C243" s="8">
        <f>IF(Applications!A122="","","Reader 2")</f>
        <v/>
      </c>
      <c r="D243" s="8" t="n"/>
      <c r="E243" s="8" t="n"/>
      <c r="F243" s="8" t="n"/>
      <c r="G243" s="8">
        <f>IF(COUNT(D243:F243)=0,"",SUM(D243:F243))</f>
        <v/>
      </c>
      <c r="H243" s="9" t="n"/>
    </row>
    <row r="244">
      <c r="A244" s="8">
        <f>IF(Applications!A123="","",Applications!A123)</f>
        <v/>
      </c>
      <c r="B244" s="8">
        <f>IF(Applications!A123="","",Applications!C123)</f>
        <v/>
      </c>
      <c r="C244" s="8">
        <f>IF(Applications!A123="","","Reader 1")</f>
        <v/>
      </c>
      <c r="D244" s="8" t="n"/>
      <c r="E244" s="8" t="n"/>
      <c r="F244" s="8" t="n"/>
      <c r="G244" s="8">
        <f>IF(COUNT(D244:F244)=0,"",SUM(D244:F244))</f>
        <v/>
      </c>
      <c r="H244" s="9" t="n"/>
    </row>
    <row r="245">
      <c r="A245" s="8">
        <f>IF(Applications!A123="","",Applications!A123)</f>
        <v/>
      </c>
      <c r="B245" s="8">
        <f>IF(Applications!A123="","",Applications!C123)</f>
        <v/>
      </c>
      <c r="C245" s="8">
        <f>IF(Applications!A123="","","Reader 2")</f>
        <v/>
      </c>
      <c r="D245" s="8" t="n"/>
      <c r="E245" s="8" t="n"/>
      <c r="F245" s="8" t="n"/>
      <c r="G245" s="8">
        <f>IF(COUNT(D245:F245)=0,"",SUM(D245:F245))</f>
        <v/>
      </c>
      <c r="H245" s="9" t="n"/>
    </row>
    <row r="246">
      <c r="A246" s="8">
        <f>IF(Applications!A124="","",Applications!A124)</f>
        <v/>
      </c>
      <c r="B246" s="8">
        <f>IF(Applications!A124="","",Applications!C124)</f>
        <v/>
      </c>
      <c r="C246" s="8">
        <f>IF(Applications!A124="","","Reader 1")</f>
        <v/>
      </c>
      <c r="D246" s="8" t="n"/>
      <c r="E246" s="8" t="n"/>
      <c r="F246" s="8" t="n"/>
      <c r="G246" s="8">
        <f>IF(COUNT(D246:F246)=0,"",SUM(D246:F246))</f>
        <v/>
      </c>
      <c r="H246" s="9" t="n"/>
    </row>
    <row r="247">
      <c r="A247" s="8">
        <f>IF(Applications!A124="","",Applications!A124)</f>
        <v/>
      </c>
      <c r="B247" s="8">
        <f>IF(Applications!A124="","",Applications!C124)</f>
        <v/>
      </c>
      <c r="C247" s="8">
        <f>IF(Applications!A124="","","Reader 2")</f>
        <v/>
      </c>
      <c r="D247" s="8" t="n"/>
      <c r="E247" s="8" t="n"/>
      <c r="F247" s="8" t="n"/>
      <c r="G247" s="8">
        <f>IF(COUNT(D247:F247)=0,"",SUM(D247:F247))</f>
        <v/>
      </c>
      <c r="H247" s="9" t="n"/>
    </row>
    <row r="248">
      <c r="A248" s="8">
        <f>IF(Applications!A125="","",Applications!A125)</f>
        <v/>
      </c>
      <c r="B248" s="8">
        <f>IF(Applications!A125="","",Applications!C125)</f>
        <v/>
      </c>
      <c r="C248" s="8">
        <f>IF(Applications!A125="","","Reader 1")</f>
        <v/>
      </c>
      <c r="D248" s="8" t="n"/>
      <c r="E248" s="8" t="n"/>
      <c r="F248" s="8" t="n"/>
      <c r="G248" s="8">
        <f>IF(COUNT(D248:F248)=0,"",SUM(D248:F248))</f>
        <v/>
      </c>
      <c r="H248" s="9" t="n"/>
    </row>
    <row r="249">
      <c r="A249" s="8">
        <f>IF(Applications!A125="","",Applications!A125)</f>
        <v/>
      </c>
      <c r="B249" s="8">
        <f>IF(Applications!A125="","",Applications!C125)</f>
        <v/>
      </c>
      <c r="C249" s="8">
        <f>IF(Applications!A125="","","Reader 2")</f>
        <v/>
      </c>
      <c r="D249" s="8" t="n"/>
      <c r="E249" s="8" t="n"/>
      <c r="F249" s="8" t="n"/>
      <c r="G249" s="8">
        <f>IF(COUNT(D249:F249)=0,"",SUM(D249:F249))</f>
        <v/>
      </c>
      <c r="H249" s="9" t="n"/>
    </row>
    <row r="250">
      <c r="A250" s="8">
        <f>IF(Applications!A126="","",Applications!A126)</f>
        <v/>
      </c>
      <c r="B250" s="8">
        <f>IF(Applications!A126="","",Applications!C126)</f>
        <v/>
      </c>
      <c r="C250" s="8">
        <f>IF(Applications!A126="","","Reader 1")</f>
        <v/>
      </c>
      <c r="D250" s="8" t="n"/>
      <c r="E250" s="8" t="n"/>
      <c r="F250" s="8" t="n"/>
      <c r="G250" s="8">
        <f>IF(COUNT(D250:F250)=0,"",SUM(D250:F250))</f>
        <v/>
      </c>
      <c r="H250" s="9" t="n"/>
    </row>
    <row r="251">
      <c r="A251" s="8">
        <f>IF(Applications!A126="","",Applications!A126)</f>
        <v/>
      </c>
      <c r="B251" s="8">
        <f>IF(Applications!A126="","",Applications!C126)</f>
        <v/>
      </c>
      <c r="C251" s="8">
        <f>IF(Applications!A126="","","Reader 2")</f>
        <v/>
      </c>
      <c r="D251" s="8" t="n"/>
      <c r="E251" s="8" t="n"/>
      <c r="F251" s="8" t="n"/>
      <c r="G251" s="8">
        <f>IF(COUNT(D251:F251)=0,"",SUM(D251:F251))</f>
        <v/>
      </c>
      <c r="H251" s="9" t="n"/>
    </row>
    <row r="252">
      <c r="A252" s="8">
        <f>IF(Applications!A127="","",Applications!A127)</f>
        <v/>
      </c>
      <c r="B252" s="8">
        <f>IF(Applications!A127="","",Applications!C127)</f>
        <v/>
      </c>
      <c r="C252" s="8">
        <f>IF(Applications!A127="","","Reader 1")</f>
        <v/>
      </c>
      <c r="D252" s="8" t="n"/>
      <c r="E252" s="8" t="n"/>
      <c r="F252" s="8" t="n"/>
      <c r="G252" s="8">
        <f>IF(COUNT(D252:F252)=0,"",SUM(D252:F252))</f>
        <v/>
      </c>
      <c r="H252" s="9" t="n"/>
    </row>
    <row r="253">
      <c r="A253" s="8">
        <f>IF(Applications!A127="","",Applications!A127)</f>
        <v/>
      </c>
      <c r="B253" s="8">
        <f>IF(Applications!A127="","",Applications!C127)</f>
        <v/>
      </c>
      <c r="C253" s="8">
        <f>IF(Applications!A127="","","Reader 2")</f>
        <v/>
      </c>
      <c r="D253" s="8" t="n"/>
      <c r="E253" s="8" t="n"/>
      <c r="F253" s="8" t="n"/>
      <c r="G253" s="8">
        <f>IF(COUNT(D253:F253)=0,"",SUM(D253:F253))</f>
        <v/>
      </c>
      <c r="H253" s="9" t="n"/>
    </row>
    <row r="254">
      <c r="A254" s="8">
        <f>IF(Applications!A128="","",Applications!A128)</f>
        <v/>
      </c>
      <c r="B254" s="8">
        <f>IF(Applications!A128="","",Applications!C128)</f>
        <v/>
      </c>
      <c r="C254" s="8">
        <f>IF(Applications!A128="","","Reader 1")</f>
        <v/>
      </c>
      <c r="D254" s="8" t="n"/>
      <c r="E254" s="8" t="n"/>
      <c r="F254" s="8" t="n"/>
      <c r="G254" s="8">
        <f>IF(COUNT(D254:F254)=0,"",SUM(D254:F254))</f>
        <v/>
      </c>
      <c r="H254" s="9" t="n"/>
    </row>
    <row r="255">
      <c r="A255" s="8">
        <f>IF(Applications!A128="","",Applications!A128)</f>
        <v/>
      </c>
      <c r="B255" s="8">
        <f>IF(Applications!A128="","",Applications!C128)</f>
        <v/>
      </c>
      <c r="C255" s="8">
        <f>IF(Applications!A128="","","Reader 2")</f>
        <v/>
      </c>
      <c r="D255" s="8" t="n"/>
      <c r="E255" s="8" t="n"/>
      <c r="F255" s="8" t="n"/>
      <c r="G255" s="8">
        <f>IF(COUNT(D255:F255)=0,"",SUM(D255:F255))</f>
        <v/>
      </c>
      <c r="H255" s="9" t="n"/>
    </row>
    <row r="256">
      <c r="A256" s="8">
        <f>IF(Applications!A129="","",Applications!A129)</f>
        <v/>
      </c>
      <c r="B256" s="8">
        <f>IF(Applications!A129="","",Applications!C129)</f>
        <v/>
      </c>
      <c r="C256" s="8">
        <f>IF(Applications!A129="","","Reader 1")</f>
        <v/>
      </c>
      <c r="D256" s="8" t="n"/>
      <c r="E256" s="8" t="n"/>
      <c r="F256" s="8" t="n"/>
      <c r="G256" s="8">
        <f>IF(COUNT(D256:F256)=0,"",SUM(D256:F256))</f>
        <v/>
      </c>
      <c r="H256" s="9" t="n"/>
    </row>
    <row r="257">
      <c r="A257" s="8">
        <f>IF(Applications!A129="","",Applications!A129)</f>
        <v/>
      </c>
      <c r="B257" s="8">
        <f>IF(Applications!A129="","",Applications!C129)</f>
        <v/>
      </c>
      <c r="C257" s="8">
        <f>IF(Applications!A129="","","Reader 2")</f>
        <v/>
      </c>
      <c r="D257" s="8" t="n"/>
      <c r="E257" s="8" t="n"/>
      <c r="F257" s="8" t="n"/>
      <c r="G257" s="8">
        <f>IF(COUNT(D257:F257)=0,"",SUM(D257:F257))</f>
        <v/>
      </c>
      <c r="H257" s="9" t="n"/>
    </row>
    <row r="258">
      <c r="A258" s="8">
        <f>IF(Applications!A130="","",Applications!A130)</f>
        <v/>
      </c>
      <c r="B258" s="8">
        <f>IF(Applications!A130="","",Applications!C130)</f>
        <v/>
      </c>
      <c r="C258" s="8">
        <f>IF(Applications!A130="","","Reader 1")</f>
        <v/>
      </c>
      <c r="D258" s="8" t="n"/>
      <c r="E258" s="8" t="n"/>
      <c r="F258" s="8" t="n"/>
      <c r="G258" s="8">
        <f>IF(COUNT(D258:F258)=0,"",SUM(D258:F258))</f>
        <v/>
      </c>
      <c r="H258" s="9" t="n"/>
    </row>
    <row r="259">
      <c r="A259" s="8">
        <f>IF(Applications!A130="","",Applications!A130)</f>
        <v/>
      </c>
      <c r="B259" s="8">
        <f>IF(Applications!A130="","",Applications!C130)</f>
        <v/>
      </c>
      <c r="C259" s="8">
        <f>IF(Applications!A130="","","Reader 2")</f>
        <v/>
      </c>
      <c r="D259" s="8" t="n"/>
      <c r="E259" s="8" t="n"/>
      <c r="F259" s="8" t="n"/>
      <c r="G259" s="8">
        <f>IF(COUNT(D259:F259)=0,"",SUM(D259:F259))</f>
        <v/>
      </c>
      <c r="H259" s="9" t="n"/>
    </row>
    <row r="260">
      <c r="A260" s="8">
        <f>IF(Applications!A131="","",Applications!A131)</f>
        <v/>
      </c>
      <c r="B260" s="8">
        <f>IF(Applications!A131="","",Applications!C131)</f>
        <v/>
      </c>
      <c r="C260" s="8">
        <f>IF(Applications!A131="","","Reader 1")</f>
        <v/>
      </c>
      <c r="D260" s="8" t="n"/>
      <c r="E260" s="8" t="n"/>
      <c r="F260" s="8" t="n"/>
      <c r="G260" s="8">
        <f>IF(COUNT(D260:F260)=0,"",SUM(D260:F260))</f>
        <v/>
      </c>
      <c r="H260" s="9" t="n"/>
    </row>
    <row r="261">
      <c r="A261" s="8">
        <f>IF(Applications!A131="","",Applications!A131)</f>
        <v/>
      </c>
      <c r="B261" s="8">
        <f>IF(Applications!A131="","",Applications!C131)</f>
        <v/>
      </c>
      <c r="C261" s="8">
        <f>IF(Applications!A131="","","Reader 2")</f>
        <v/>
      </c>
      <c r="D261" s="8" t="n"/>
      <c r="E261" s="8" t="n"/>
      <c r="F261" s="8" t="n"/>
      <c r="G261" s="8">
        <f>IF(COUNT(D261:F261)=0,"",SUM(D261:F261))</f>
        <v/>
      </c>
      <c r="H261" s="9" t="n"/>
    </row>
    <row r="262">
      <c r="A262" s="8">
        <f>IF(Applications!A132="","",Applications!A132)</f>
        <v/>
      </c>
      <c r="B262" s="8">
        <f>IF(Applications!A132="","",Applications!C132)</f>
        <v/>
      </c>
      <c r="C262" s="8">
        <f>IF(Applications!A132="","","Reader 1")</f>
        <v/>
      </c>
      <c r="D262" s="8" t="n"/>
      <c r="E262" s="8" t="n"/>
      <c r="F262" s="8" t="n"/>
      <c r="G262" s="8">
        <f>IF(COUNT(D262:F262)=0,"",SUM(D262:F262))</f>
        <v/>
      </c>
      <c r="H262" s="9" t="n"/>
    </row>
    <row r="263">
      <c r="A263" s="8">
        <f>IF(Applications!A132="","",Applications!A132)</f>
        <v/>
      </c>
      <c r="B263" s="8">
        <f>IF(Applications!A132="","",Applications!C132)</f>
        <v/>
      </c>
      <c r="C263" s="8">
        <f>IF(Applications!A132="","","Reader 2")</f>
        <v/>
      </c>
      <c r="D263" s="8" t="n"/>
      <c r="E263" s="8" t="n"/>
      <c r="F263" s="8" t="n"/>
      <c r="G263" s="8">
        <f>IF(COUNT(D263:F263)=0,"",SUM(D263:F263))</f>
        <v/>
      </c>
      <c r="H263" s="9" t="n"/>
    </row>
    <row r="264">
      <c r="A264" s="8">
        <f>IF(Applications!A133="","",Applications!A133)</f>
        <v/>
      </c>
      <c r="B264" s="8">
        <f>IF(Applications!A133="","",Applications!C133)</f>
        <v/>
      </c>
      <c r="C264" s="8">
        <f>IF(Applications!A133="","","Reader 1")</f>
        <v/>
      </c>
      <c r="D264" s="8" t="n"/>
      <c r="E264" s="8" t="n"/>
      <c r="F264" s="8" t="n"/>
      <c r="G264" s="8">
        <f>IF(COUNT(D264:F264)=0,"",SUM(D264:F264))</f>
        <v/>
      </c>
      <c r="H264" s="9" t="n"/>
    </row>
    <row r="265">
      <c r="A265" s="8">
        <f>IF(Applications!A133="","",Applications!A133)</f>
        <v/>
      </c>
      <c r="B265" s="8">
        <f>IF(Applications!A133="","",Applications!C133)</f>
        <v/>
      </c>
      <c r="C265" s="8">
        <f>IF(Applications!A133="","","Reader 2")</f>
        <v/>
      </c>
      <c r="D265" s="8" t="n"/>
      <c r="E265" s="8" t="n"/>
      <c r="F265" s="8" t="n"/>
      <c r="G265" s="8">
        <f>IF(COUNT(D265:F265)=0,"",SUM(D265:F265))</f>
        <v/>
      </c>
      <c r="H265" s="9" t="n"/>
    </row>
    <row r="266">
      <c r="A266" s="8">
        <f>IF(Applications!A134="","",Applications!A134)</f>
        <v/>
      </c>
      <c r="B266" s="8">
        <f>IF(Applications!A134="","",Applications!C134)</f>
        <v/>
      </c>
      <c r="C266" s="8">
        <f>IF(Applications!A134="","","Reader 1")</f>
        <v/>
      </c>
      <c r="D266" s="8" t="n"/>
      <c r="E266" s="8" t="n"/>
      <c r="F266" s="8" t="n"/>
      <c r="G266" s="8">
        <f>IF(COUNT(D266:F266)=0,"",SUM(D266:F266))</f>
        <v/>
      </c>
      <c r="H266" s="9" t="n"/>
    </row>
    <row r="267">
      <c r="A267" s="8">
        <f>IF(Applications!A134="","",Applications!A134)</f>
        <v/>
      </c>
      <c r="B267" s="8">
        <f>IF(Applications!A134="","",Applications!C134)</f>
        <v/>
      </c>
      <c r="C267" s="8">
        <f>IF(Applications!A134="","","Reader 2")</f>
        <v/>
      </c>
      <c r="D267" s="8" t="n"/>
      <c r="E267" s="8" t="n"/>
      <c r="F267" s="8" t="n"/>
      <c r="G267" s="8">
        <f>IF(COUNT(D267:F267)=0,"",SUM(D267:F267))</f>
        <v/>
      </c>
      <c r="H267" s="9" t="n"/>
    </row>
    <row r="268">
      <c r="A268" s="8">
        <f>IF(Applications!A135="","",Applications!A135)</f>
        <v/>
      </c>
      <c r="B268" s="8">
        <f>IF(Applications!A135="","",Applications!C135)</f>
        <v/>
      </c>
      <c r="C268" s="8">
        <f>IF(Applications!A135="","","Reader 1")</f>
        <v/>
      </c>
      <c r="D268" s="8" t="n"/>
      <c r="E268" s="8" t="n"/>
      <c r="F268" s="8" t="n"/>
      <c r="G268" s="8">
        <f>IF(COUNT(D268:F268)=0,"",SUM(D268:F268))</f>
        <v/>
      </c>
      <c r="H268" s="9" t="n"/>
    </row>
    <row r="269">
      <c r="A269" s="8">
        <f>IF(Applications!A135="","",Applications!A135)</f>
        <v/>
      </c>
      <c r="B269" s="8">
        <f>IF(Applications!A135="","",Applications!C135)</f>
        <v/>
      </c>
      <c r="C269" s="8">
        <f>IF(Applications!A135="","","Reader 2")</f>
        <v/>
      </c>
      <c r="D269" s="8" t="n"/>
      <c r="E269" s="8" t="n"/>
      <c r="F269" s="8" t="n"/>
      <c r="G269" s="8">
        <f>IF(COUNT(D269:F269)=0,"",SUM(D269:F269))</f>
        <v/>
      </c>
      <c r="H269" s="9" t="n"/>
    </row>
    <row r="270">
      <c r="A270" s="8">
        <f>IF(Applications!A136="","",Applications!A136)</f>
        <v/>
      </c>
      <c r="B270" s="8">
        <f>IF(Applications!A136="","",Applications!C136)</f>
        <v/>
      </c>
      <c r="C270" s="8">
        <f>IF(Applications!A136="","","Reader 1")</f>
        <v/>
      </c>
      <c r="D270" s="8" t="n"/>
      <c r="E270" s="8" t="n"/>
      <c r="F270" s="8" t="n"/>
      <c r="G270" s="8">
        <f>IF(COUNT(D270:F270)=0,"",SUM(D270:F270))</f>
        <v/>
      </c>
      <c r="H270" s="9" t="n"/>
    </row>
    <row r="271">
      <c r="A271" s="8">
        <f>IF(Applications!A136="","",Applications!A136)</f>
        <v/>
      </c>
      <c r="B271" s="8">
        <f>IF(Applications!A136="","",Applications!C136)</f>
        <v/>
      </c>
      <c r="C271" s="8">
        <f>IF(Applications!A136="","","Reader 2")</f>
        <v/>
      </c>
      <c r="D271" s="8" t="n"/>
      <c r="E271" s="8" t="n"/>
      <c r="F271" s="8" t="n"/>
      <c r="G271" s="8">
        <f>IF(COUNT(D271:F271)=0,"",SUM(D271:F271))</f>
        <v/>
      </c>
      <c r="H271" s="9" t="n"/>
    </row>
    <row r="272">
      <c r="A272" s="8">
        <f>IF(Applications!A137="","",Applications!A137)</f>
        <v/>
      </c>
      <c r="B272" s="8">
        <f>IF(Applications!A137="","",Applications!C137)</f>
        <v/>
      </c>
      <c r="C272" s="8">
        <f>IF(Applications!A137="","","Reader 1")</f>
        <v/>
      </c>
      <c r="D272" s="8" t="n"/>
      <c r="E272" s="8" t="n"/>
      <c r="F272" s="8" t="n"/>
      <c r="G272" s="8">
        <f>IF(COUNT(D272:F272)=0,"",SUM(D272:F272))</f>
        <v/>
      </c>
      <c r="H272" s="9" t="n"/>
    </row>
    <row r="273">
      <c r="A273" s="8">
        <f>IF(Applications!A137="","",Applications!A137)</f>
        <v/>
      </c>
      <c r="B273" s="8">
        <f>IF(Applications!A137="","",Applications!C137)</f>
        <v/>
      </c>
      <c r="C273" s="8">
        <f>IF(Applications!A137="","","Reader 2")</f>
        <v/>
      </c>
      <c r="D273" s="8" t="n"/>
      <c r="E273" s="8" t="n"/>
      <c r="F273" s="8" t="n"/>
      <c r="G273" s="8">
        <f>IF(COUNT(D273:F273)=0,"",SUM(D273:F273))</f>
        <v/>
      </c>
      <c r="H273" s="9" t="n"/>
    </row>
    <row r="274">
      <c r="A274" s="8">
        <f>IF(Applications!A138="","",Applications!A138)</f>
        <v/>
      </c>
      <c r="B274" s="8">
        <f>IF(Applications!A138="","",Applications!C138)</f>
        <v/>
      </c>
      <c r="C274" s="8">
        <f>IF(Applications!A138="","","Reader 1")</f>
        <v/>
      </c>
      <c r="D274" s="8" t="n"/>
      <c r="E274" s="8" t="n"/>
      <c r="F274" s="8" t="n"/>
      <c r="G274" s="8">
        <f>IF(COUNT(D274:F274)=0,"",SUM(D274:F274))</f>
        <v/>
      </c>
      <c r="H274" s="9" t="n"/>
    </row>
    <row r="275">
      <c r="A275" s="8">
        <f>IF(Applications!A138="","",Applications!A138)</f>
        <v/>
      </c>
      <c r="B275" s="8">
        <f>IF(Applications!A138="","",Applications!C138)</f>
        <v/>
      </c>
      <c r="C275" s="8">
        <f>IF(Applications!A138="","","Reader 2")</f>
        <v/>
      </c>
      <c r="D275" s="8" t="n"/>
      <c r="E275" s="8" t="n"/>
      <c r="F275" s="8" t="n"/>
      <c r="G275" s="8">
        <f>IF(COUNT(D275:F275)=0,"",SUM(D275:F275))</f>
        <v/>
      </c>
      <c r="H275" s="9" t="n"/>
    </row>
    <row r="276">
      <c r="A276" s="8">
        <f>IF(Applications!A139="","",Applications!A139)</f>
        <v/>
      </c>
      <c r="B276" s="8">
        <f>IF(Applications!A139="","",Applications!C139)</f>
        <v/>
      </c>
      <c r="C276" s="8">
        <f>IF(Applications!A139="","","Reader 1")</f>
        <v/>
      </c>
      <c r="D276" s="8" t="n"/>
      <c r="E276" s="8" t="n"/>
      <c r="F276" s="8" t="n"/>
      <c r="G276" s="8">
        <f>IF(COUNT(D276:F276)=0,"",SUM(D276:F276))</f>
        <v/>
      </c>
      <c r="H276" s="9" t="n"/>
    </row>
    <row r="277">
      <c r="A277" s="8">
        <f>IF(Applications!A139="","",Applications!A139)</f>
        <v/>
      </c>
      <c r="B277" s="8">
        <f>IF(Applications!A139="","",Applications!C139)</f>
        <v/>
      </c>
      <c r="C277" s="8">
        <f>IF(Applications!A139="","","Reader 2")</f>
        <v/>
      </c>
      <c r="D277" s="8" t="n"/>
      <c r="E277" s="8" t="n"/>
      <c r="F277" s="8" t="n"/>
      <c r="G277" s="8">
        <f>IF(COUNT(D277:F277)=0,"",SUM(D277:F277))</f>
        <v/>
      </c>
      <c r="H277" s="9" t="n"/>
    </row>
    <row r="278">
      <c r="A278" s="8">
        <f>IF(Applications!A140="","",Applications!A140)</f>
        <v/>
      </c>
      <c r="B278" s="8">
        <f>IF(Applications!A140="","",Applications!C140)</f>
        <v/>
      </c>
      <c r="C278" s="8">
        <f>IF(Applications!A140="","","Reader 1")</f>
        <v/>
      </c>
      <c r="D278" s="8" t="n"/>
      <c r="E278" s="8" t="n"/>
      <c r="F278" s="8" t="n"/>
      <c r="G278" s="8">
        <f>IF(COUNT(D278:F278)=0,"",SUM(D278:F278))</f>
        <v/>
      </c>
      <c r="H278" s="9" t="n"/>
    </row>
    <row r="279">
      <c r="A279" s="8">
        <f>IF(Applications!A140="","",Applications!A140)</f>
        <v/>
      </c>
      <c r="B279" s="8">
        <f>IF(Applications!A140="","",Applications!C140)</f>
        <v/>
      </c>
      <c r="C279" s="8">
        <f>IF(Applications!A140="","","Reader 2")</f>
        <v/>
      </c>
      <c r="D279" s="8" t="n"/>
      <c r="E279" s="8" t="n"/>
      <c r="F279" s="8" t="n"/>
      <c r="G279" s="8">
        <f>IF(COUNT(D279:F279)=0,"",SUM(D279:F279))</f>
        <v/>
      </c>
      <c r="H279" s="9" t="n"/>
    </row>
    <row r="280">
      <c r="A280" s="8">
        <f>IF(Applications!A141="","",Applications!A141)</f>
        <v/>
      </c>
      <c r="B280" s="8">
        <f>IF(Applications!A141="","",Applications!C141)</f>
        <v/>
      </c>
      <c r="C280" s="8">
        <f>IF(Applications!A141="","","Reader 1")</f>
        <v/>
      </c>
      <c r="D280" s="8" t="n"/>
      <c r="E280" s="8" t="n"/>
      <c r="F280" s="8" t="n"/>
      <c r="G280" s="8">
        <f>IF(COUNT(D280:F280)=0,"",SUM(D280:F280))</f>
        <v/>
      </c>
      <c r="H280" s="9" t="n"/>
    </row>
    <row r="281">
      <c r="A281" s="8">
        <f>IF(Applications!A141="","",Applications!A141)</f>
        <v/>
      </c>
      <c r="B281" s="8">
        <f>IF(Applications!A141="","",Applications!C141)</f>
        <v/>
      </c>
      <c r="C281" s="8">
        <f>IF(Applications!A141="","","Reader 2")</f>
        <v/>
      </c>
      <c r="D281" s="8" t="n"/>
      <c r="E281" s="8" t="n"/>
      <c r="F281" s="8" t="n"/>
      <c r="G281" s="8">
        <f>IF(COUNT(D281:F281)=0,"",SUM(D281:F281))</f>
        <v/>
      </c>
      <c r="H281" s="9" t="n"/>
    </row>
    <row r="282">
      <c r="A282" s="8">
        <f>IF(Applications!A142="","",Applications!A142)</f>
        <v/>
      </c>
      <c r="B282" s="8">
        <f>IF(Applications!A142="","",Applications!C142)</f>
        <v/>
      </c>
      <c r="C282" s="8">
        <f>IF(Applications!A142="","","Reader 1")</f>
        <v/>
      </c>
      <c r="D282" s="8" t="n"/>
      <c r="E282" s="8" t="n"/>
      <c r="F282" s="8" t="n"/>
      <c r="G282" s="8">
        <f>IF(COUNT(D282:F282)=0,"",SUM(D282:F282))</f>
        <v/>
      </c>
      <c r="H282" s="9" t="n"/>
    </row>
    <row r="283">
      <c r="A283" s="8">
        <f>IF(Applications!A142="","",Applications!A142)</f>
        <v/>
      </c>
      <c r="B283" s="8">
        <f>IF(Applications!A142="","",Applications!C142)</f>
        <v/>
      </c>
      <c r="C283" s="8">
        <f>IF(Applications!A142="","","Reader 2")</f>
        <v/>
      </c>
      <c r="D283" s="8" t="n"/>
      <c r="E283" s="8" t="n"/>
      <c r="F283" s="8" t="n"/>
      <c r="G283" s="8">
        <f>IF(COUNT(D283:F283)=0,"",SUM(D283:F283))</f>
        <v/>
      </c>
      <c r="H283" s="9" t="n"/>
    </row>
    <row r="284">
      <c r="A284" s="8">
        <f>IF(Applications!A143="","",Applications!A143)</f>
        <v/>
      </c>
      <c r="B284" s="8">
        <f>IF(Applications!A143="","",Applications!C143)</f>
        <v/>
      </c>
      <c r="C284" s="8">
        <f>IF(Applications!A143="","","Reader 1")</f>
        <v/>
      </c>
      <c r="D284" s="8" t="n"/>
      <c r="E284" s="8" t="n"/>
      <c r="F284" s="8" t="n"/>
      <c r="G284" s="8">
        <f>IF(COUNT(D284:F284)=0,"",SUM(D284:F284))</f>
        <v/>
      </c>
      <c r="H284" s="9" t="n"/>
    </row>
    <row r="285">
      <c r="A285" s="8">
        <f>IF(Applications!A143="","",Applications!A143)</f>
        <v/>
      </c>
      <c r="B285" s="8">
        <f>IF(Applications!A143="","",Applications!C143)</f>
        <v/>
      </c>
      <c r="C285" s="8">
        <f>IF(Applications!A143="","","Reader 2")</f>
        <v/>
      </c>
      <c r="D285" s="8" t="n"/>
      <c r="E285" s="8" t="n"/>
      <c r="F285" s="8" t="n"/>
      <c r="G285" s="8">
        <f>IF(COUNT(D285:F285)=0,"",SUM(D285:F285))</f>
        <v/>
      </c>
      <c r="H285" s="9" t="n"/>
    </row>
    <row r="286">
      <c r="A286" s="8">
        <f>IF(Applications!A144="","",Applications!A144)</f>
        <v/>
      </c>
      <c r="B286" s="8">
        <f>IF(Applications!A144="","",Applications!C144)</f>
        <v/>
      </c>
      <c r="C286" s="8">
        <f>IF(Applications!A144="","","Reader 1")</f>
        <v/>
      </c>
      <c r="D286" s="8" t="n"/>
      <c r="E286" s="8" t="n"/>
      <c r="F286" s="8" t="n"/>
      <c r="G286" s="8">
        <f>IF(COUNT(D286:F286)=0,"",SUM(D286:F286))</f>
        <v/>
      </c>
      <c r="H286" s="9" t="n"/>
    </row>
    <row r="287">
      <c r="A287" s="8">
        <f>IF(Applications!A144="","",Applications!A144)</f>
        <v/>
      </c>
      <c r="B287" s="8">
        <f>IF(Applications!A144="","",Applications!C144)</f>
        <v/>
      </c>
      <c r="C287" s="8">
        <f>IF(Applications!A144="","","Reader 2")</f>
        <v/>
      </c>
      <c r="D287" s="8" t="n"/>
      <c r="E287" s="8" t="n"/>
      <c r="F287" s="8" t="n"/>
      <c r="G287" s="8">
        <f>IF(COUNT(D287:F287)=0,"",SUM(D287:F287))</f>
        <v/>
      </c>
      <c r="H287" s="9" t="n"/>
    </row>
    <row r="288">
      <c r="A288" s="8">
        <f>IF(Applications!A145="","",Applications!A145)</f>
        <v/>
      </c>
      <c r="B288" s="8">
        <f>IF(Applications!A145="","",Applications!C145)</f>
        <v/>
      </c>
      <c r="C288" s="8">
        <f>IF(Applications!A145="","","Reader 1")</f>
        <v/>
      </c>
      <c r="D288" s="8" t="n"/>
      <c r="E288" s="8" t="n"/>
      <c r="F288" s="8" t="n"/>
      <c r="G288" s="8">
        <f>IF(COUNT(D288:F288)=0,"",SUM(D288:F288))</f>
        <v/>
      </c>
      <c r="H288" s="9" t="n"/>
    </row>
    <row r="289">
      <c r="A289" s="8">
        <f>IF(Applications!A145="","",Applications!A145)</f>
        <v/>
      </c>
      <c r="B289" s="8">
        <f>IF(Applications!A145="","",Applications!C145)</f>
        <v/>
      </c>
      <c r="C289" s="8">
        <f>IF(Applications!A145="","","Reader 2")</f>
        <v/>
      </c>
      <c r="D289" s="8" t="n"/>
      <c r="E289" s="8" t="n"/>
      <c r="F289" s="8" t="n"/>
      <c r="G289" s="8">
        <f>IF(COUNT(D289:F289)=0,"",SUM(D289:F289))</f>
        <v/>
      </c>
      <c r="H289" s="9" t="n"/>
    </row>
    <row r="290">
      <c r="A290" s="8">
        <f>IF(Applications!A146="","",Applications!A146)</f>
        <v/>
      </c>
      <c r="B290" s="8">
        <f>IF(Applications!A146="","",Applications!C146)</f>
        <v/>
      </c>
      <c r="C290" s="8">
        <f>IF(Applications!A146="","","Reader 1")</f>
        <v/>
      </c>
      <c r="D290" s="8" t="n"/>
      <c r="E290" s="8" t="n"/>
      <c r="F290" s="8" t="n"/>
      <c r="G290" s="8">
        <f>IF(COUNT(D290:F290)=0,"",SUM(D290:F290))</f>
        <v/>
      </c>
      <c r="H290" s="9" t="n"/>
    </row>
    <row r="291">
      <c r="A291" s="8">
        <f>IF(Applications!A146="","",Applications!A146)</f>
        <v/>
      </c>
      <c r="B291" s="8">
        <f>IF(Applications!A146="","",Applications!C146)</f>
        <v/>
      </c>
      <c r="C291" s="8">
        <f>IF(Applications!A146="","","Reader 2")</f>
        <v/>
      </c>
      <c r="D291" s="8" t="n"/>
      <c r="E291" s="8" t="n"/>
      <c r="F291" s="8" t="n"/>
      <c r="G291" s="8">
        <f>IF(COUNT(D291:F291)=0,"",SUM(D291:F291))</f>
        <v/>
      </c>
      <c r="H291" s="9" t="n"/>
    </row>
    <row r="292">
      <c r="A292" s="8">
        <f>IF(Applications!A147="","",Applications!A147)</f>
        <v/>
      </c>
      <c r="B292" s="8">
        <f>IF(Applications!A147="","",Applications!C147)</f>
        <v/>
      </c>
      <c r="C292" s="8">
        <f>IF(Applications!A147="","","Reader 1")</f>
        <v/>
      </c>
      <c r="D292" s="8" t="n"/>
      <c r="E292" s="8" t="n"/>
      <c r="F292" s="8" t="n"/>
      <c r="G292" s="8">
        <f>IF(COUNT(D292:F292)=0,"",SUM(D292:F292))</f>
        <v/>
      </c>
      <c r="H292" s="9" t="n"/>
    </row>
    <row r="293">
      <c r="A293" s="8">
        <f>IF(Applications!A147="","",Applications!A147)</f>
        <v/>
      </c>
      <c r="B293" s="8">
        <f>IF(Applications!A147="","",Applications!C147)</f>
        <v/>
      </c>
      <c r="C293" s="8">
        <f>IF(Applications!A147="","","Reader 2")</f>
        <v/>
      </c>
      <c r="D293" s="8" t="n"/>
      <c r="E293" s="8" t="n"/>
      <c r="F293" s="8" t="n"/>
      <c r="G293" s="8">
        <f>IF(COUNT(D293:F293)=0,"",SUM(D293:F293))</f>
        <v/>
      </c>
      <c r="H293" s="9" t="n"/>
    </row>
    <row r="294">
      <c r="A294" s="8">
        <f>IF(Applications!A148="","",Applications!A148)</f>
        <v/>
      </c>
      <c r="B294" s="8">
        <f>IF(Applications!A148="","",Applications!C148)</f>
        <v/>
      </c>
      <c r="C294" s="8">
        <f>IF(Applications!A148="","","Reader 1")</f>
        <v/>
      </c>
      <c r="D294" s="8" t="n"/>
      <c r="E294" s="8" t="n"/>
      <c r="F294" s="8" t="n"/>
      <c r="G294" s="8">
        <f>IF(COUNT(D294:F294)=0,"",SUM(D294:F294))</f>
        <v/>
      </c>
      <c r="H294" s="9" t="n"/>
    </row>
    <row r="295">
      <c r="A295" s="8">
        <f>IF(Applications!A148="","",Applications!A148)</f>
        <v/>
      </c>
      <c r="B295" s="8">
        <f>IF(Applications!A148="","",Applications!C148)</f>
        <v/>
      </c>
      <c r="C295" s="8">
        <f>IF(Applications!A148="","","Reader 2")</f>
        <v/>
      </c>
      <c r="D295" s="8" t="n"/>
      <c r="E295" s="8" t="n"/>
      <c r="F295" s="8" t="n"/>
      <c r="G295" s="8">
        <f>IF(COUNT(D295:F295)=0,"",SUM(D295:F295))</f>
        <v/>
      </c>
      <c r="H295" s="9" t="n"/>
    </row>
    <row r="296">
      <c r="A296" s="8">
        <f>IF(Applications!A149="","",Applications!A149)</f>
        <v/>
      </c>
      <c r="B296" s="8">
        <f>IF(Applications!A149="","",Applications!C149)</f>
        <v/>
      </c>
      <c r="C296" s="8">
        <f>IF(Applications!A149="","","Reader 1")</f>
        <v/>
      </c>
      <c r="D296" s="8" t="n"/>
      <c r="E296" s="8" t="n"/>
      <c r="F296" s="8" t="n"/>
      <c r="G296" s="8">
        <f>IF(COUNT(D296:F296)=0,"",SUM(D296:F296))</f>
        <v/>
      </c>
      <c r="H296" s="9" t="n"/>
    </row>
    <row r="297">
      <c r="A297" s="8">
        <f>IF(Applications!A149="","",Applications!A149)</f>
        <v/>
      </c>
      <c r="B297" s="8">
        <f>IF(Applications!A149="","",Applications!C149)</f>
        <v/>
      </c>
      <c r="C297" s="8">
        <f>IF(Applications!A149="","","Reader 2")</f>
        <v/>
      </c>
      <c r="D297" s="8" t="n"/>
      <c r="E297" s="8" t="n"/>
      <c r="F297" s="8" t="n"/>
      <c r="G297" s="8">
        <f>IF(COUNT(D297:F297)=0,"",SUM(D297:F297))</f>
        <v/>
      </c>
      <c r="H297" s="9" t="n"/>
    </row>
    <row r="298">
      <c r="A298" s="8">
        <f>IF(Applications!A150="","",Applications!A150)</f>
        <v/>
      </c>
      <c r="B298" s="8">
        <f>IF(Applications!A150="","",Applications!C150)</f>
        <v/>
      </c>
      <c r="C298" s="8">
        <f>IF(Applications!A150="","","Reader 1")</f>
        <v/>
      </c>
      <c r="D298" s="8" t="n"/>
      <c r="E298" s="8" t="n"/>
      <c r="F298" s="8" t="n"/>
      <c r="G298" s="8">
        <f>IF(COUNT(D298:F298)=0,"",SUM(D298:F298))</f>
        <v/>
      </c>
      <c r="H298" s="9" t="n"/>
    </row>
    <row r="299">
      <c r="A299" s="8">
        <f>IF(Applications!A150="","",Applications!A150)</f>
        <v/>
      </c>
      <c r="B299" s="8">
        <f>IF(Applications!A150="","",Applications!C150)</f>
        <v/>
      </c>
      <c r="C299" s="8">
        <f>IF(Applications!A150="","","Reader 2")</f>
        <v/>
      </c>
      <c r="D299" s="8" t="n"/>
      <c r="E299" s="8" t="n"/>
      <c r="F299" s="8" t="n"/>
      <c r="G299" s="8">
        <f>IF(COUNT(D299:F299)=0,"",SUM(D299:F299))</f>
        <v/>
      </c>
      <c r="H299" s="9" t="n"/>
    </row>
    <row r="300">
      <c r="A300" s="8">
        <f>IF(Applications!A151="","",Applications!A151)</f>
        <v/>
      </c>
      <c r="B300" s="8">
        <f>IF(Applications!A151="","",Applications!C151)</f>
        <v/>
      </c>
      <c r="C300" s="8">
        <f>IF(Applications!A151="","","Reader 1")</f>
        <v/>
      </c>
      <c r="D300" s="8" t="n"/>
      <c r="E300" s="8" t="n"/>
      <c r="F300" s="8" t="n"/>
      <c r="G300" s="8">
        <f>IF(COUNT(D300:F300)=0,"",SUM(D300:F300))</f>
        <v/>
      </c>
      <c r="H300" s="9" t="n"/>
    </row>
    <row r="301">
      <c r="A301" s="8">
        <f>IF(Applications!A151="","",Applications!A151)</f>
        <v/>
      </c>
      <c r="B301" s="8">
        <f>IF(Applications!A151="","",Applications!C151)</f>
        <v/>
      </c>
      <c r="C301" s="8">
        <f>IF(Applications!A151="","","Reader 2")</f>
        <v/>
      </c>
      <c r="D301" s="8" t="n"/>
      <c r="E301" s="8" t="n"/>
      <c r="F301" s="8" t="n"/>
      <c r="G301" s="8">
        <f>IF(COUNT(D301:F301)=0,"",SUM(D301:F301))</f>
        <v/>
      </c>
      <c r="H301" s="9" t="n"/>
    </row>
    <row r="302">
      <c r="A302" s="8">
        <f>IF(Applications!A152="","",Applications!A152)</f>
        <v/>
      </c>
      <c r="B302" s="8">
        <f>IF(Applications!A152="","",Applications!C152)</f>
        <v/>
      </c>
      <c r="C302" s="8">
        <f>IF(Applications!A152="","","Reader 1")</f>
        <v/>
      </c>
      <c r="D302" s="8" t="n"/>
      <c r="E302" s="8" t="n"/>
      <c r="F302" s="8" t="n"/>
      <c r="G302" s="8">
        <f>IF(COUNT(D302:F302)=0,"",SUM(D302:F302))</f>
        <v/>
      </c>
      <c r="H302" s="9" t="n"/>
    </row>
    <row r="303">
      <c r="A303" s="8">
        <f>IF(Applications!A152="","",Applications!A152)</f>
        <v/>
      </c>
      <c r="B303" s="8">
        <f>IF(Applications!A152="","",Applications!C152)</f>
        <v/>
      </c>
      <c r="C303" s="8">
        <f>IF(Applications!A152="","","Reader 2")</f>
        <v/>
      </c>
      <c r="D303" s="8" t="n"/>
      <c r="E303" s="8" t="n"/>
      <c r="F303" s="8" t="n"/>
      <c r="G303" s="8">
        <f>IF(COUNT(D303:F303)=0,"",SUM(D303:F303))</f>
        <v/>
      </c>
      <c r="H303" s="9" t="n"/>
    </row>
    <row r="304">
      <c r="A304" s="8">
        <f>IF(Applications!A153="","",Applications!A153)</f>
        <v/>
      </c>
      <c r="B304" s="8">
        <f>IF(Applications!A153="","",Applications!C153)</f>
        <v/>
      </c>
      <c r="C304" s="8">
        <f>IF(Applications!A153="","","Reader 1")</f>
        <v/>
      </c>
      <c r="D304" s="8" t="n"/>
      <c r="E304" s="8" t="n"/>
      <c r="F304" s="8" t="n"/>
      <c r="G304" s="8">
        <f>IF(COUNT(D304:F304)=0,"",SUM(D304:F304))</f>
        <v/>
      </c>
      <c r="H304" s="9" t="n"/>
    </row>
    <row r="305">
      <c r="A305" s="8">
        <f>IF(Applications!A153="","",Applications!A153)</f>
        <v/>
      </c>
      <c r="B305" s="8">
        <f>IF(Applications!A153="","",Applications!C153)</f>
        <v/>
      </c>
      <c r="C305" s="8">
        <f>IF(Applications!A153="","","Reader 2")</f>
        <v/>
      </c>
      <c r="D305" s="8" t="n"/>
      <c r="E305" s="8" t="n"/>
      <c r="F305" s="8" t="n"/>
      <c r="G305" s="8">
        <f>IF(COUNT(D305:F305)=0,"",SUM(D305:F305))</f>
        <v/>
      </c>
      <c r="H305" s="9" t="n"/>
    </row>
    <row r="306">
      <c r="A306" s="8">
        <f>IF(Applications!A154="","",Applications!A154)</f>
        <v/>
      </c>
      <c r="B306" s="8">
        <f>IF(Applications!A154="","",Applications!C154)</f>
        <v/>
      </c>
      <c r="C306" s="8">
        <f>IF(Applications!A154="","","Reader 1")</f>
        <v/>
      </c>
      <c r="D306" s="8" t="n"/>
      <c r="E306" s="8" t="n"/>
      <c r="F306" s="8" t="n"/>
      <c r="G306" s="8">
        <f>IF(COUNT(D306:F306)=0,"",SUM(D306:F306))</f>
        <v/>
      </c>
      <c r="H306" s="9" t="n"/>
    </row>
    <row r="307">
      <c r="A307" s="8">
        <f>IF(Applications!A154="","",Applications!A154)</f>
        <v/>
      </c>
      <c r="B307" s="8">
        <f>IF(Applications!A154="","",Applications!C154)</f>
        <v/>
      </c>
      <c r="C307" s="8">
        <f>IF(Applications!A154="","","Reader 2")</f>
        <v/>
      </c>
      <c r="D307" s="8" t="n"/>
      <c r="E307" s="8" t="n"/>
      <c r="F307" s="8" t="n"/>
      <c r="G307" s="8">
        <f>IF(COUNT(D307:F307)=0,"",SUM(D307:F307))</f>
        <v/>
      </c>
      <c r="H307" s="9" t="n"/>
    </row>
    <row r="308">
      <c r="A308" s="8">
        <f>IF(Applications!A155="","",Applications!A155)</f>
        <v/>
      </c>
      <c r="B308" s="8">
        <f>IF(Applications!A155="","",Applications!C155)</f>
        <v/>
      </c>
      <c r="C308" s="8">
        <f>IF(Applications!A155="","","Reader 1")</f>
        <v/>
      </c>
      <c r="D308" s="8" t="n"/>
      <c r="E308" s="8" t="n"/>
      <c r="F308" s="8" t="n"/>
      <c r="G308" s="8">
        <f>IF(COUNT(D308:F308)=0,"",SUM(D308:F308))</f>
        <v/>
      </c>
      <c r="H308" s="9" t="n"/>
    </row>
    <row r="309">
      <c r="A309" s="8">
        <f>IF(Applications!A155="","",Applications!A155)</f>
        <v/>
      </c>
      <c r="B309" s="8">
        <f>IF(Applications!A155="","",Applications!C155)</f>
        <v/>
      </c>
      <c r="C309" s="8">
        <f>IF(Applications!A155="","","Reader 2")</f>
        <v/>
      </c>
      <c r="D309" s="8" t="n"/>
      <c r="E309" s="8" t="n"/>
      <c r="F309" s="8" t="n"/>
      <c r="G309" s="8">
        <f>IF(COUNT(D309:F309)=0,"",SUM(D309:F309))</f>
        <v/>
      </c>
      <c r="H309" s="9" t="n"/>
    </row>
    <row r="310">
      <c r="A310" s="8">
        <f>IF(Applications!A156="","",Applications!A156)</f>
        <v/>
      </c>
      <c r="B310" s="8">
        <f>IF(Applications!A156="","",Applications!C156)</f>
        <v/>
      </c>
      <c r="C310" s="8">
        <f>IF(Applications!A156="","","Reader 1")</f>
        <v/>
      </c>
      <c r="D310" s="8" t="n"/>
      <c r="E310" s="8" t="n"/>
      <c r="F310" s="8" t="n"/>
      <c r="G310" s="8">
        <f>IF(COUNT(D310:F310)=0,"",SUM(D310:F310))</f>
        <v/>
      </c>
      <c r="H310" s="9" t="n"/>
    </row>
    <row r="311">
      <c r="A311" s="8">
        <f>IF(Applications!A156="","",Applications!A156)</f>
        <v/>
      </c>
      <c r="B311" s="8">
        <f>IF(Applications!A156="","",Applications!C156)</f>
        <v/>
      </c>
      <c r="C311" s="8">
        <f>IF(Applications!A156="","","Reader 2")</f>
        <v/>
      </c>
      <c r="D311" s="8" t="n"/>
      <c r="E311" s="8" t="n"/>
      <c r="F311" s="8" t="n"/>
      <c r="G311" s="8">
        <f>IF(COUNT(D311:F311)=0,"",SUM(D311:F311))</f>
        <v/>
      </c>
      <c r="H311" s="9" t="n"/>
    </row>
    <row r="312">
      <c r="A312" s="8">
        <f>IF(Applications!A157="","",Applications!A157)</f>
        <v/>
      </c>
      <c r="B312" s="8">
        <f>IF(Applications!A157="","",Applications!C157)</f>
        <v/>
      </c>
      <c r="C312" s="8">
        <f>IF(Applications!A157="","","Reader 1")</f>
        <v/>
      </c>
      <c r="D312" s="8" t="n"/>
      <c r="E312" s="8" t="n"/>
      <c r="F312" s="8" t="n"/>
      <c r="G312" s="8">
        <f>IF(COUNT(D312:F312)=0,"",SUM(D312:F312))</f>
        <v/>
      </c>
      <c r="H312" s="9" t="n"/>
    </row>
    <row r="313">
      <c r="A313" s="8">
        <f>IF(Applications!A157="","",Applications!A157)</f>
        <v/>
      </c>
      <c r="B313" s="8">
        <f>IF(Applications!A157="","",Applications!C157)</f>
        <v/>
      </c>
      <c r="C313" s="8">
        <f>IF(Applications!A157="","","Reader 2")</f>
        <v/>
      </c>
      <c r="D313" s="8" t="n"/>
      <c r="E313" s="8" t="n"/>
      <c r="F313" s="8" t="n"/>
      <c r="G313" s="8">
        <f>IF(COUNT(D313:F313)=0,"",SUM(D313:F313))</f>
        <v/>
      </c>
      <c r="H313" s="9" t="n"/>
    </row>
    <row r="314">
      <c r="A314" s="8">
        <f>IF(Applications!A158="","",Applications!A158)</f>
        <v/>
      </c>
      <c r="B314" s="8">
        <f>IF(Applications!A158="","",Applications!C158)</f>
        <v/>
      </c>
      <c r="C314" s="8">
        <f>IF(Applications!A158="","","Reader 1")</f>
        <v/>
      </c>
      <c r="D314" s="8" t="n"/>
      <c r="E314" s="8" t="n"/>
      <c r="F314" s="8" t="n"/>
      <c r="G314" s="8">
        <f>IF(COUNT(D314:F314)=0,"",SUM(D314:F314))</f>
        <v/>
      </c>
      <c r="H314" s="9" t="n"/>
    </row>
    <row r="315">
      <c r="A315" s="8">
        <f>IF(Applications!A158="","",Applications!A158)</f>
        <v/>
      </c>
      <c r="B315" s="8">
        <f>IF(Applications!A158="","",Applications!C158)</f>
        <v/>
      </c>
      <c r="C315" s="8">
        <f>IF(Applications!A158="","","Reader 2")</f>
        <v/>
      </c>
      <c r="D315" s="8" t="n"/>
      <c r="E315" s="8" t="n"/>
      <c r="F315" s="8" t="n"/>
      <c r="G315" s="8">
        <f>IF(COUNT(D315:F315)=0,"",SUM(D315:F315))</f>
        <v/>
      </c>
      <c r="H315" s="9" t="n"/>
    </row>
    <row r="316">
      <c r="A316" s="8">
        <f>IF(Applications!A159="","",Applications!A159)</f>
        <v/>
      </c>
      <c r="B316" s="8">
        <f>IF(Applications!A159="","",Applications!C159)</f>
        <v/>
      </c>
      <c r="C316" s="8">
        <f>IF(Applications!A159="","","Reader 1")</f>
        <v/>
      </c>
      <c r="D316" s="8" t="n"/>
      <c r="E316" s="8" t="n"/>
      <c r="F316" s="8" t="n"/>
      <c r="G316" s="8">
        <f>IF(COUNT(D316:F316)=0,"",SUM(D316:F316))</f>
        <v/>
      </c>
      <c r="H316" s="9" t="n"/>
    </row>
    <row r="317">
      <c r="A317" s="8">
        <f>IF(Applications!A159="","",Applications!A159)</f>
        <v/>
      </c>
      <c r="B317" s="8">
        <f>IF(Applications!A159="","",Applications!C159)</f>
        <v/>
      </c>
      <c r="C317" s="8">
        <f>IF(Applications!A159="","","Reader 2")</f>
        <v/>
      </c>
      <c r="D317" s="8" t="n"/>
      <c r="E317" s="8" t="n"/>
      <c r="F317" s="8" t="n"/>
      <c r="G317" s="8">
        <f>IF(COUNT(D317:F317)=0,"",SUM(D317:F317))</f>
        <v/>
      </c>
      <c r="H317" s="9" t="n"/>
    </row>
    <row r="318">
      <c r="A318" s="8">
        <f>IF(Applications!A160="","",Applications!A160)</f>
        <v/>
      </c>
      <c r="B318" s="8">
        <f>IF(Applications!A160="","",Applications!C160)</f>
        <v/>
      </c>
      <c r="C318" s="8">
        <f>IF(Applications!A160="","","Reader 1")</f>
        <v/>
      </c>
      <c r="D318" s="8" t="n"/>
      <c r="E318" s="8" t="n"/>
      <c r="F318" s="8" t="n"/>
      <c r="G318" s="8">
        <f>IF(COUNT(D318:F318)=0,"",SUM(D318:F318))</f>
        <v/>
      </c>
      <c r="H318" s="9" t="n"/>
    </row>
    <row r="319">
      <c r="A319" s="8">
        <f>IF(Applications!A160="","",Applications!A160)</f>
        <v/>
      </c>
      <c r="B319" s="8">
        <f>IF(Applications!A160="","",Applications!C160)</f>
        <v/>
      </c>
      <c r="C319" s="8">
        <f>IF(Applications!A160="","","Reader 2")</f>
        <v/>
      </c>
      <c r="D319" s="8" t="n"/>
      <c r="E319" s="8" t="n"/>
      <c r="F319" s="8" t="n"/>
      <c r="G319" s="8">
        <f>IF(COUNT(D319:F319)=0,"",SUM(D319:F319))</f>
        <v/>
      </c>
      <c r="H319" s="9" t="n"/>
    </row>
    <row r="320">
      <c r="A320" s="8">
        <f>IF(Applications!A161="","",Applications!A161)</f>
        <v/>
      </c>
      <c r="B320" s="8">
        <f>IF(Applications!A161="","",Applications!C161)</f>
        <v/>
      </c>
      <c r="C320" s="8">
        <f>IF(Applications!A161="","","Reader 1")</f>
        <v/>
      </c>
      <c r="D320" s="8" t="n"/>
      <c r="E320" s="8" t="n"/>
      <c r="F320" s="8" t="n"/>
      <c r="G320" s="8">
        <f>IF(COUNT(D320:F320)=0,"",SUM(D320:F320))</f>
        <v/>
      </c>
      <c r="H320" s="9" t="n"/>
    </row>
    <row r="321">
      <c r="A321" s="8">
        <f>IF(Applications!A161="","",Applications!A161)</f>
        <v/>
      </c>
      <c r="B321" s="8">
        <f>IF(Applications!A161="","",Applications!C161)</f>
        <v/>
      </c>
      <c r="C321" s="8">
        <f>IF(Applications!A161="","","Reader 2")</f>
        <v/>
      </c>
      <c r="D321" s="8" t="n"/>
      <c r="E321" s="8" t="n"/>
      <c r="F321" s="8" t="n"/>
      <c r="G321" s="8">
        <f>IF(COUNT(D321:F321)=0,"",SUM(D321:F321))</f>
        <v/>
      </c>
      <c r="H321" s="9" t="n"/>
    </row>
    <row r="322">
      <c r="A322" s="8">
        <f>IF(Applications!A162="","",Applications!A162)</f>
        <v/>
      </c>
      <c r="B322" s="8">
        <f>IF(Applications!A162="","",Applications!C162)</f>
        <v/>
      </c>
      <c r="C322" s="8">
        <f>IF(Applications!A162="","","Reader 1")</f>
        <v/>
      </c>
      <c r="D322" s="8" t="n"/>
      <c r="E322" s="8" t="n"/>
      <c r="F322" s="8" t="n"/>
      <c r="G322" s="8">
        <f>IF(COUNT(D322:F322)=0,"",SUM(D322:F322))</f>
        <v/>
      </c>
      <c r="H322" s="9" t="n"/>
    </row>
    <row r="323">
      <c r="A323" s="8">
        <f>IF(Applications!A162="","",Applications!A162)</f>
        <v/>
      </c>
      <c r="B323" s="8">
        <f>IF(Applications!A162="","",Applications!C162)</f>
        <v/>
      </c>
      <c r="C323" s="8">
        <f>IF(Applications!A162="","","Reader 2")</f>
        <v/>
      </c>
      <c r="D323" s="8" t="n"/>
      <c r="E323" s="8" t="n"/>
      <c r="F323" s="8" t="n"/>
      <c r="G323" s="8">
        <f>IF(COUNT(D323:F323)=0,"",SUM(D323:F323))</f>
        <v/>
      </c>
      <c r="H323" s="9" t="n"/>
    </row>
    <row r="324">
      <c r="A324" s="8">
        <f>IF(Applications!A163="","",Applications!A163)</f>
        <v/>
      </c>
      <c r="B324" s="8">
        <f>IF(Applications!A163="","",Applications!C163)</f>
        <v/>
      </c>
      <c r="C324" s="8">
        <f>IF(Applications!A163="","","Reader 1")</f>
        <v/>
      </c>
      <c r="D324" s="8" t="n"/>
      <c r="E324" s="8" t="n"/>
      <c r="F324" s="8" t="n"/>
      <c r="G324" s="8">
        <f>IF(COUNT(D324:F324)=0,"",SUM(D324:F324))</f>
        <v/>
      </c>
      <c r="H324" s="9" t="n"/>
    </row>
    <row r="325">
      <c r="A325" s="8">
        <f>IF(Applications!A163="","",Applications!A163)</f>
        <v/>
      </c>
      <c r="B325" s="8">
        <f>IF(Applications!A163="","",Applications!C163)</f>
        <v/>
      </c>
      <c r="C325" s="8">
        <f>IF(Applications!A163="","","Reader 2")</f>
        <v/>
      </c>
      <c r="D325" s="8" t="n"/>
      <c r="E325" s="8" t="n"/>
      <c r="F325" s="8" t="n"/>
      <c r="G325" s="8">
        <f>IF(COUNT(D325:F325)=0,"",SUM(D325:F325))</f>
        <v/>
      </c>
      <c r="H325" s="9" t="n"/>
    </row>
    <row r="326">
      <c r="A326" s="8">
        <f>IF(Applications!A164="","",Applications!A164)</f>
        <v/>
      </c>
      <c r="B326" s="8">
        <f>IF(Applications!A164="","",Applications!C164)</f>
        <v/>
      </c>
      <c r="C326" s="8">
        <f>IF(Applications!A164="","","Reader 1")</f>
        <v/>
      </c>
      <c r="D326" s="8" t="n"/>
      <c r="E326" s="8" t="n"/>
      <c r="F326" s="8" t="n"/>
      <c r="G326" s="8">
        <f>IF(COUNT(D326:F326)=0,"",SUM(D326:F326))</f>
        <v/>
      </c>
      <c r="H326" s="9" t="n"/>
    </row>
    <row r="327">
      <c r="A327" s="8">
        <f>IF(Applications!A164="","",Applications!A164)</f>
        <v/>
      </c>
      <c r="B327" s="8">
        <f>IF(Applications!A164="","",Applications!C164)</f>
        <v/>
      </c>
      <c r="C327" s="8">
        <f>IF(Applications!A164="","","Reader 2")</f>
        <v/>
      </c>
      <c r="D327" s="8" t="n"/>
      <c r="E327" s="8" t="n"/>
      <c r="F327" s="8" t="n"/>
      <c r="G327" s="8">
        <f>IF(COUNT(D327:F327)=0,"",SUM(D327:F327))</f>
        <v/>
      </c>
      <c r="H327" s="9" t="n"/>
    </row>
    <row r="328">
      <c r="A328" s="8">
        <f>IF(Applications!A165="","",Applications!A165)</f>
        <v/>
      </c>
      <c r="B328" s="8">
        <f>IF(Applications!A165="","",Applications!C165)</f>
        <v/>
      </c>
      <c r="C328" s="8">
        <f>IF(Applications!A165="","","Reader 1")</f>
        <v/>
      </c>
      <c r="D328" s="8" t="n"/>
      <c r="E328" s="8" t="n"/>
      <c r="F328" s="8" t="n"/>
      <c r="G328" s="8">
        <f>IF(COUNT(D328:F328)=0,"",SUM(D328:F328))</f>
        <v/>
      </c>
      <c r="H328" s="9" t="n"/>
    </row>
    <row r="329">
      <c r="A329" s="8">
        <f>IF(Applications!A165="","",Applications!A165)</f>
        <v/>
      </c>
      <c r="B329" s="8">
        <f>IF(Applications!A165="","",Applications!C165)</f>
        <v/>
      </c>
      <c r="C329" s="8">
        <f>IF(Applications!A165="","","Reader 2")</f>
        <v/>
      </c>
      <c r="D329" s="8" t="n"/>
      <c r="E329" s="8" t="n"/>
      <c r="F329" s="8" t="n"/>
      <c r="G329" s="8">
        <f>IF(COUNT(D329:F329)=0,"",SUM(D329:F329))</f>
        <v/>
      </c>
      <c r="H329" s="9" t="n"/>
    </row>
    <row r="330">
      <c r="A330" s="8">
        <f>IF(Applications!A166="","",Applications!A166)</f>
        <v/>
      </c>
      <c r="B330" s="8">
        <f>IF(Applications!A166="","",Applications!C166)</f>
        <v/>
      </c>
      <c r="C330" s="8">
        <f>IF(Applications!A166="","","Reader 1")</f>
        <v/>
      </c>
      <c r="D330" s="8" t="n"/>
      <c r="E330" s="8" t="n"/>
      <c r="F330" s="8" t="n"/>
      <c r="G330" s="8">
        <f>IF(COUNT(D330:F330)=0,"",SUM(D330:F330))</f>
        <v/>
      </c>
      <c r="H330" s="9" t="n"/>
    </row>
    <row r="331">
      <c r="A331" s="8">
        <f>IF(Applications!A166="","",Applications!A166)</f>
        <v/>
      </c>
      <c r="B331" s="8">
        <f>IF(Applications!A166="","",Applications!C166)</f>
        <v/>
      </c>
      <c r="C331" s="8">
        <f>IF(Applications!A166="","","Reader 2")</f>
        <v/>
      </c>
      <c r="D331" s="8" t="n"/>
      <c r="E331" s="8" t="n"/>
      <c r="F331" s="8" t="n"/>
      <c r="G331" s="8">
        <f>IF(COUNT(D331:F331)=0,"",SUM(D331:F331))</f>
        <v/>
      </c>
      <c r="H331" s="9" t="n"/>
    </row>
    <row r="332">
      <c r="A332" s="8">
        <f>IF(Applications!A167="","",Applications!A167)</f>
        <v/>
      </c>
      <c r="B332" s="8">
        <f>IF(Applications!A167="","",Applications!C167)</f>
        <v/>
      </c>
      <c r="C332" s="8">
        <f>IF(Applications!A167="","","Reader 1")</f>
        <v/>
      </c>
      <c r="D332" s="8" t="n"/>
      <c r="E332" s="8" t="n"/>
      <c r="F332" s="8" t="n"/>
      <c r="G332" s="8">
        <f>IF(COUNT(D332:F332)=0,"",SUM(D332:F332))</f>
        <v/>
      </c>
      <c r="H332" s="9" t="n"/>
    </row>
    <row r="333">
      <c r="A333" s="8">
        <f>IF(Applications!A167="","",Applications!A167)</f>
        <v/>
      </c>
      <c r="B333" s="8">
        <f>IF(Applications!A167="","",Applications!C167)</f>
        <v/>
      </c>
      <c r="C333" s="8">
        <f>IF(Applications!A167="","","Reader 2")</f>
        <v/>
      </c>
      <c r="D333" s="8" t="n"/>
      <c r="E333" s="8" t="n"/>
      <c r="F333" s="8" t="n"/>
      <c r="G333" s="8">
        <f>IF(COUNT(D333:F333)=0,"",SUM(D333:F333))</f>
        <v/>
      </c>
      <c r="H333" s="9" t="n"/>
    </row>
    <row r="334">
      <c r="A334" s="8">
        <f>IF(Applications!A168="","",Applications!A168)</f>
        <v/>
      </c>
      <c r="B334" s="8">
        <f>IF(Applications!A168="","",Applications!C168)</f>
        <v/>
      </c>
      <c r="C334" s="8">
        <f>IF(Applications!A168="","","Reader 1")</f>
        <v/>
      </c>
      <c r="D334" s="8" t="n"/>
      <c r="E334" s="8" t="n"/>
      <c r="F334" s="8" t="n"/>
      <c r="G334" s="8">
        <f>IF(COUNT(D334:F334)=0,"",SUM(D334:F334))</f>
        <v/>
      </c>
      <c r="H334" s="9" t="n"/>
    </row>
    <row r="335">
      <c r="A335" s="8">
        <f>IF(Applications!A168="","",Applications!A168)</f>
        <v/>
      </c>
      <c r="B335" s="8">
        <f>IF(Applications!A168="","",Applications!C168)</f>
        <v/>
      </c>
      <c r="C335" s="8">
        <f>IF(Applications!A168="","","Reader 2")</f>
        <v/>
      </c>
      <c r="D335" s="8" t="n"/>
      <c r="E335" s="8" t="n"/>
      <c r="F335" s="8" t="n"/>
      <c r="G335" s="8">
        <f>IF(COUNT(D335:F335)=0,"",SUM(D335:F335))</f>
        <v/>
      </c>
      <c r="H335" s="9" t="n"/>
    </row>
    <row r="336">
      <c r="A336" s="8">
        <f>IF(Applications!A169="","",Applications!A169)</f>
        <v/>
      </c>
      <c r="B336" s="8">
        <f>IF(Applications!A169="","",Applications!C169)</f>
        <v/>
      </c>
      <c r="C336" s="8">
        <f>IF(Applications!A169="","","Reader 1")</f>
        <v/>
      </c>
      <c r="D336" s="8" t="n"/>
      <c r="E336" s="8" t="n"/>
      <c r="F336" s="8" t="n"/>
      <c r="G336" s="8">
        <f>IF(COUNT(D336:F336)=0,"",SUM(D336:F336))</f>
        <v/>
      </c>
      <c r="H336" s="9" t="n"/>
    </row>
    <row r="337">
      <c r="A337" s="8">
        <f>IF(Applications!A169="","",Applications!A169)</f>
        <v/>
      </c>
      <c r="B337" s="8">
        <f>IF(Applications!A169="","",Applications!C169)</f>
        <v/>
      </c>
      <c r="C337" s="8">
        <f>IF(Applications!A169="","","Reader 2")</f>
        <v/>
      </c>
      <c r="D337" s="8" t="n"/>
      <c r="E337" s="8" t="n"/>
      <c r="F337" s="8" t="n"/>
      <c r="G337" s="8">
        <f>IF(COUNT(D337:F337)=0,"",SUM(D337:F337))</f>
        <v/>
      </c>
      <c r="H337" s="9" t="n"/>
    </row>
    <row r="338">
      <c r="A338" s="8">
        <f>IF(Applications!A170="","",Applications!A170)</f>
        <v/>
      </c>
      <c r="B338" s="8">
        <f>IF(Applications!A170="","",Applications!C170)</f>
        <v/>
      </c>
      <c r="C338" s="8">
        <f>IF(Applications!A170="","","Reader 1")</f>
        <v/>
      </c>
      <c r="D338" s="8" t="n"/>
      <c r="E338" s="8" t="n"/>
      <c r="F338" s="8" t="n"/>
      <c r="G338" s="8">
        <f>IF(COUNT(D338:F338)=0,"",SUM(D338:F338))</f>
        <v/>
      </c>
      <c r="H338" s="9" t="n"/>
    </row>
    <row r="339">
      <c r="A339" s="8">
        <f>IF(Applications!A170="","",Applications!A170)</f>
        <v/>
      </c>
      <c r="B339" s="8">
        <f>IF(Applications!A170="","",Applications!C170)</f>
        <v/>
      </c>
      <c r="C339" s="8">
        <f>IF(Applications!A170="","","Reader 2")</f>
        <v/>
      </c>
      <c r="D339" s="8" t="n"/>
      <c r="E339" s="8" t="n"/>
      <c r="F339" s="8" t="n"/>
      <c r="G339" s="8">
        <f>IF(COUNT(D339:F339)=0,"",SUM(D339:F339))</f>
        <v/>
      </c>
      <c r="H339" s="9" t="n"/>
    </row>
    <row r="340">
      <c r="A340" s="8">
        <f>IF(Applications!A171="","",Applications!A171)</f>
        <v/>
      </c>
      <c r="B340" s="8">
        <f>IF(Applications!A171="","",Applications!C171)</f>
        <v/>
      </c>
      <c r="C340" s="8">
        <f>IF(Applications!A171="","","Reader 1")</f>
        <v/>
      </c>
      <c r="D340" s="8" t="n"/>
      <c r="E340" s="8" t="n"/>
      <c r="F340" s="8" t="n"/>
      <c r="G340" s="8">
        <f>IF(COUNT(D340:F340)=0,"",SUM(D340:F340))</f>
        <v/>
      </c>
      <c r="H340" s="9" t="n"/>
    </row>
    <row r="341">
      <c r="A341" s="8">
        <f>IF(Applications!A171="","",Applications!A171)</f>
        <v/>
      </c>
      <c r="B341" s="8">
        <f>IF(Applications!A171="","",Applications!C171)</f>
        <v/>
      </c>
      <c r="C341" s="8">
        <f>IF(Applications!A171="","","Reader 2")</f>
        <v/>
      </c>
      <c r="D341" s="8" t="n"/>
      <c r="E341" s="8" t="n"/>
      <c r="F341" s="8" t="n"/>
      <c r="G341" s="8">
        <f>IF(COUNT(D341:F341)=0,"",SUM(D341:F341))</f>
        <v/>
      </c>
      <c r="H341" s="9" t="n"/>
    </row>
    <row r="342">
      <c r="A342" s="8">
        <f>IF(Applications!A172="","",Applications!A172)</f>
        <v/>
      </c>
      <c r="B342" s="8">
        <f>IF(Applications!A172="","",Applications!C172)</f>
        <v/>
      </c>
      <c r="C342" s="8">
        <f>IF(Applications!A172="","","Reader 1")</f>
        <v/>
      </c>
      <c r="D342" s="8" t="n"/>
      <c r="E342" s="8" t="n"/>
      <c r="F342" s="8" t="n"/>
      <c r="G342" s="8">
        <f>IF(COUNT(D342:F342)=0,"",SUM(D342:F342))</f>
        <v/>
      </c>
      <c r="H342" s="9" t="n"/>
    </row>
    <row r="343">
      <c r="A343" s="8">
        <f>IF(Applications!A172="","",Applications!A172)</f>
        <v/>
      </c>
      <c r="B343" s="8">
        <f>IF(Applications!A172="","",Applications!C172)</f>
        <v/>
      </c>
      <c r="C343" s="8">
        <f>IF(Applications!A172="","","Reader 2")</f>
        <v/>
      </c>
      <c r="D343" s="8" t="n"/>
      <c r="E343" s="8" t="n"/>
      <c r="F343" s="8" t="n"/>
      <c r="G343" s="8">
        <f>IF(COUNT(D343:F343)=0,"",SUM(D343:F343))</f>
        <v/>
      </c>
      <c r="H343" s="9" t="n"/>
    </row>
    <row r="344">
      <c r="A344" s="8">
        <f>IF(Applications!A173="","",Applications!A173)</f>
        <v/>
      </c>
      <c r="B344" s="8">
        <f>IF(Applications!A173="","",Applications!C173)</f>
        <v/>
      </c>
      <c r="C344" s="8">
        <f>IF(Applications!A173="","","Reader 1")</f>
        <v/>
      </c>
      <c r="D344" s="8" t="n"/>
      <c r="E344" s="8" t="n"/>
      <c r="F344" s="8" t="n"/>
      <c r="G344" s="8">
        <f>IF(COUNT(D344:F344)=0,"",SUM(D344:F344))</f>
        <v/>
      </c>
      <c r="H344" s="9" t="n"/>
    </row>
    <row r="345">
      <c r="A345" s="8">
        <f>IF(Applications!A173="","",Applications!A173)</f>
        <v/>
      </c>
      <c r="B345" s="8">
        <f>IF(Applications!A173="","",Applications!C173)</f>
        <v/>
      </c>
      <c r="C345" s="8">
        <f>IF(Applications!A173="","","Reader 2")</f>
        <v/>
      </c>
      <c r="D345" s="8" t="n"/>
      <c r="E345" s="8" t="n"/>
      <c r="F345" s="8" t="n"/>
      <c r="G345" s="8">
        <f>IF(COUNT(D345:F345)=0,"",SUM(D345:F345))</f>
        <v/>
      </c>
      <c r="H345" s="9" t="n"/>
    </row>
    <row r="346">
      <c r="A346" s="8">
        <f>IF(Applications!A174="","",Applications!A174)</f>
        <v/>
      </c>
      <c r="B346" s="8">
        <f>IF(Applications!A174="","",Applications!C174)</f>
        <v/>
      </c>
      <c r="C346" s="8">
        <f>IF(Applications!A174="","","Reader 1")</f>
        <v/>
      </c>
      <c r="D346" s="8" t="n"/>
      <c r="E346" s="8" t="n"/>
      <c r="F346" s="8" t="n"/>
      <c r="G346" s="8">
        <f>IF(COUNT(D346:F346)=0,"",SUM(D346:F346))</f>
        <v/>
      </c>
      <c r="H346" s="9" t="n"/>
    </row>
    <row r="347">
      <c r="A347" s="8">
        <f>IF(Applications!A174="","",Applications!A174)</f>
        <v/>
      </c>
      <c r="B347" s="8">
        <f>IF(Applications!A174="","",Applications!C174)</f>
        <v/>
      </c>
      <c r="C347" s="8">
        <f>IF(Applications!A174="","","Reader 2")</f>
        <v/>
      </c>
      <c r="D347" s="8" t="n"/>
      <c r="E347" s="8" t="n"/>
      <c r="F347" s="8" t="n"/>
      <c r="G347" s="8">
        <f>IF(COUNT(D347:F347)=0,"",SUM(D347:F347))</f>
        <v/>
      </c>
      <c r="H347" s="9" t="n"/>
    </row>
    <row r="348">
      <c r="A348" s="8">
        <f>IF(Applications!A175="","",Applications!A175)</f>
        <v/>
      </c>
      <c r="B348" s="8">
        <f>IF(Applications!A175="","",Applications!C175)</f>
        <v/>
      </c>
      <c r="C348" s="8">
        <f>IF(Applications!A175="","","Reader 1")</f>
        <v/>
      </c>
      <c r="D348" s="8" t="n"/>
      <c r="E348" s="8" t="n"/>
      <c r="F348" s="8" t="n"/>
      <c r="G348" s="8">
        <f>IF(COUNT(D348:F348)=0,"",SUM(D348:F348))</f>
        <v/>
      </c>
      <c r="H348" s="9" t="n"/>
    </row>
    <row r="349">
      <c r="A349" s="8">
        <f>IF(Applications!A175="","",Applications!A175)</f>
        <v/>
      </c>
      <c r="B349" s="8">
        <f>IF(Applications!A175="","",Applications!C175)</f>
        <v/>
      </c>
      <c r="C349" s="8">
        <f>IF(Applications!A175="","","Reader 2")</f>
        <v/>
      </c>
      <c r="D349" s="8" t="n"/>
      <c r="E349" s="8" t="n"/>
      <c r="F349" s="8" t="n"/>
      <c r="G349" s="8">
        <f>IF(COUNT(D349:F349)=0,"",SUM(D349:F349))</f>
        <v/>
      </c>
      <c r="H349" s="9" t="n"/>
    </row>
    <row r="350">
      <c r="A350" s="8">
        <f>IF(Applications!A176="","",Applications!A176)</f>
        <v/>
      </c>
      <c r="B350" s="8">
        <f>IF(Applications!A176="","",Applications!C176)</f>
        <v/>
      </c>
      <c r="C350" s="8">
        <f>IF(Applications!A176="","","Reader 1")</f>
        <v/>
      </c>
      <c r="D350" s="8" t="n"/>
      <c r="E350" s="8" t="n"/>
      <c r="F350" s="8" t="n"/>
      <c r="G350" s="8">
        <f>IF(COUNT(D350:F350)=0,"",SUM(D350:F350))</f>
        <v/>
      </c>
      <c r="H350" s="9" t="n"/>
    </row>
    <row r="351">
      <c r="A351" s="8">
        <f>IF(Applications!A176="","",Applications!A176)</f>
        <v/>
      </c>
      <c r="B351" s="8">
        <f>IF(Applications!A176="","",Applications!C176)</f>
        <v/>
      </c>
      <c r="C351" s="8">
        <f>IF(Applications!A176="","","Reader 2")</f>
        <v/>
      </c>
      <c r="D351" s="8" t="n"/>
      <c r="E351" s="8" t="n"/>
      <c r="F351" s="8" t="n"/>
      <c r="G351" s="8">
        <f>IF(COUNT(D351:F351)=0,"",SUM(D351:F351))</f>
        <v/>
      </c>
      <c r="H351" s="9" t="n"/>
    </row>
    <row r="352">
      <c r="A352" s="8">
        <f>IF(Applications!A177="","",Applications!A177)</f>
        <v/>
      </c>
      <c r="B352" s="8">
        <f>IF(Applications!A177="","",Applications!C177)</f>
        <v/>
      </c>
      <c r="C352" s="8">
        <f>IF(Applications!A177="","","Reader 1")</f>
        <v/>
      </c>
      <c r="D352" s="8" t="n"/>
      <c r="E352" s="8" t="n"/>
      <c r="F352" s="8" t="n"/>
      <c r="G352" s="8">
        <f>IF(COUNT(D352:F352)=0,"",SUM(D352:F352))</f>
        <v/>
      </c>
      <c r="H352" s="9" t="n"/>
    </row>
    <row r="353">
      <c r="A353" s="8">
        <f>IF(Applications!A177="","",Applications!A177)</f>
        <v/>
      </c>
      <c r="B353" s="8">
        <f>IF(Applications!A177="","",Applications!C177)</f>
        <v/>
      </c>
      <c r="C353" s="8">
        <f>IF(Applications!A177="","","Reader 2")</f>
        <v/>
      </c>
      <c r="D353" s="8" t="n"/>
      <c r="E353" s="8" t="n"/>
      <c r="F353" s="8" t="n"/>
      <c r="G353" s="8">
        <f>IF(COUNT(D353:F353)=0,"",SUM(D353:F353))</f>
        <v/>
      </c>
      <c r="H353" s="9" t="n"/>
    </row>
    <row r="354">
      <c r="A354" s="8">
        <f>IF(Applications!A178="","",Applications!A178)</f>
        <v/>
      </c>
      <c r="B354" s="8">
        <f>IF(Applications!A178="","",Applications!C178)</f>
        <v/>
      </c>
      <c r="C354" s="8">
        <f>IF(Applications!A178="","","Reader 1")</f>
        <v/>
      </c>
      <c r="D354" s="8" t="n"/>
      <c r="E354" s="8" t="n"/>
      <c r="F354" s="8" t="n"/>
      <c r="G354" s="8">
        <f>IF(COUNT(D354:F354)=0,"",SUM(D354:F354))</f>
        <v/>
      </c>
      <c r="H354" s="9" t="n"/>
    </row>
    <row r="355">
      <c r="A355" s="8">
        <f>IF(Applications!A178="","",Applications!A178)</f>
        <v/>
      </c>
      <c r="B355" s="8">
        <f>IF(Applications!A178="","",Applications!C178)</f>
        <v/>
      </c>
      <c r="C355" s="8">
        <f>IF(Applications!A178="","","Reader 2")</f>
        <v/>
      </c>
      <c r="D355" s="8" t="n"/>
      <c r="E355" s="8" t="n"/>
      <c r="F355" s="8" t="n"/>
      <c r="G355" s="8">
        <f>IF(COUNT(D355:F355)=0,"",SUM(D355:F355))</f>
        <v/>
      </c>
      <c r="H355" s="9" t="n"/>
    </row>
    <row r="356">
      <c r="A356" s="8">
        <f>IF(Applications!A179="","",Applications!A179)</f>
        <v/>
      </c>
      <c r="B356" s="8">
        <f>IF(Applications!A179="","",Applications!C179)</f>
        <v/>
      </c>
      <c r="C356" s="8">
        <f>IF(Applications!A179="","","Reader 1")</f>
        <v/>
      </c>
      <c r="D356" s="8" t="n"/>
      <c r="E356" s="8" t="n"/>
      <c r="F356" s="8" t="n"/>
      <c r="G356" s="8">
        <f>IF(COUNT(D356:F356)=0,"",SUM(D356:F356))</f>
        <v/>
      </c>
      <c r="H356" s="9" t="n"/>
    </row>
    <row r="357">
      <c r="A357" s="8">
        <f>IF(Applications!A179="","",Applications!A179)</f>
        <v/>
      </c>
      <c r="B357" s="8">
        <f>IF(Applications!A179="","",Applications!C179)</f>
        <v/>
      </c>
      <c r="C357" s="8">
        <f>IF(Applications!A179="","","Reader 2")</f>
        <v/>
      </c>
      <c r="D357" s="8" t="n"/>
      <c r="E357" s="8" t="n"/>
      <c r="F357" s="8" t="n"/>
      <c r="G357" s="8">
        <f>IF(COUNT(D357:F357)=0,"",SUM(D357:F357))</f>
        <v/>
      </c>
      <c r="H357" s="9" t="n"/>
    </row>
    <row r="358">
      <c r="A358" s="8">
        <f>IF(Applications!A180="","",Applications!A180)</f>
        <v/>
      </c>
      <c r="B358" s="8">
        <f>IF(Applications!A180="","",Applications!C180)</f>
        <v/>
      </c>
      <c r="C358" s="8">
        <f>IF(Applications!A180="","","Reader 1")</f>
        <v/>
      </c>
      <c r="D358" s="8" t="n"/>
      <c r="E358" s="8" t="n"/>
      <c r="F358" s="8" t="n"/>
      <c r="G358" s="8">
        <f>IF(COUNT(D358:F358)=0,"",SUM(D358:F358))</f>
        <v/>
      </c>
      <c r="H358" s="9" t="n"/>
    </row>
    <row r="359">
      <c r="A359" s="8">
        <f>IF(Applications!A180="","",Applications!A180)</f>
        <v/>
      </c>
      <c r="B359" s="8">
        <f>IF(Applications!A180="","",Applications!C180)</f>
        <v/>
      </c>
      <c r="C359" s="8">
        <f>IF(Applications!A180="","","Reader 2")</f>
        <v/>
      </c>
      <c r="D359" s="8" t="n"/>
      <c r="E359" s="8" t="n"/>
      <c r="F359" s="8" t="n"/>
      <c r="G359" s="8">
        <f>IF(COUNT(D359:F359)=0,"",SUM(D359:F359))</f>
        <v/>
      </c>
      <c r="H359" s="9" t="n"/>
    </row>
    <row r="360">
      <c r="A360" s="8">
        <f>IF(Applications!A181="","",Applications!A181)</f>
        <v/>
      </c>
      <c r="B360" s="8">
        <f>IF(Applications!A181="","",Applications!C181)</f>
        <v/>
      </c>
      <c r="C360" s="8">
        <f>IF(Applications!A181="","","Reader 1")</f>
        <v/>
      </c>
      <c r="D360" s="8" t="n"/>
      <c r="E360" s="8" t="n"/>
      <c r="F360" s="8" t="n"/>
      <c r="G360" s="8">
        <f>IF(COUNT(D360:F360)=0,"",SUM(D360:F360))</f>
        <v/>
      </c>
      <c r="H360" s="9" t="n"/>
    </row>
    <row r="361">
      <c r="A361" s="8">
        <f>IF(Applications!A181="","",Applications!A181)</f>
        <v/>
      </c>
      <c r="B361" s="8">
        <f>IF(Applications!A181="","",Applications!C181)</f>
        <v/>
      </c>
      <c r="C361" s="8">
        <f>IF(Applications!A181="","","Reader 2")</f>
        <v/>
      </c>
      <c r="D361" s="8" t="n"/>
      <c r="E361" s="8" t="n"/>
      <c r="F361" s="8" t="n"/>
      <c r="G361" s="8">
        <f>IF(COUNT(D361:F361)=0,"",SUM(D361:F361))</f>
        <v/>
      </c>
      <c r="H361" s="9" t="n"/>
    </row>
    <row r="362">
      <c r="A362" s="8">
        <f>IF(Applications!A182="","",Applications!A182)</f>
        <v/>
      </c>
      <c r="B362" s="8">
        <f>IF(Applications!A182="","",Applications!C182)</f>
        <v/>
      </c>
      <c r="C362" s="8">
        <f>IF(Applications!A182="","","Reader 1")</f>
        <v/>
      </c>
      <c r="D362" s="8" t="n"/>
      <c r="E362" s="8" t="n"/>
      <c r="F362" s="8" t="n"/>
      <c r="G362" s="8">
        <f>IF(COUNT(D362:F362)=0,"",SUM(D362:F362))</f>
        <v/>
      </c>
      <c r="H362" s="9" t="n"/>
    </row>
    <row r="363">
      <c r="A363" s="8">
        <f>IF(Applications!A182="","",Applications!A182)</f>
        <v/>
      </c>
      <c r="B363" s="8">
        <f>IF(Applications!A182="","",Applications!C182)</f>
        <v/>
      </c>
      <c r="C363" s="8">
        <f>IF(Applications!A182="","","Reader 2")</f>
        <v/>
      </c>
      <c r="D363" s="8" t="n"/>
      <c r="E363" s="8" t="n"/>
      <c r="F363" s="8" t="n"/>
      <c r="G363" s="8">
        <f>IF(COUNT(D363:F363)=0,"",SUM(D363:F363))</f>
        <v/>
      </c>
      <c r="H363" s="9" t="n"/>
    </row>
    <row r="364">
      <c r="A364" s="8">
        <f>IF(Applications!A183="","",Applications!A183)</f>
        <v/>
      </c>
      <c r="B364" s="8">
        <f>IF(Applications!A183="","",Applications!C183)</f>
        <v/>
      </c>
      <c r="C364" s="8">
        <f>IF(Applications!A183="","","Reader 1")</f>
        <v/>
      </c>
      <c r="D364" s="8" t="n"/>
      <c r="E364" s="8" t="n"/>
      <c r="F364" s="8" t="n"/>
      <c r="G364" s="8">
        <f>IF(COUNT(D364:F364)=0,"",SUM(D364:F364))</f>
        <v/>
      </c>
      <c r="H364" s="9" t="n"/>
    </row>
    <row r="365">
      <c r="A365" s="8">
        <f>IF(Applications!A183="","",Applications!A183)</f>
        <v/>
      </c>
      <c r="B365" s="8">
        <f>IF(Applications!A183="","",Applications!C183)</f>
        <v/>
      </c>
      <c r="C365" s="8">
        <f>IF(Applications!A183="","","Reader 2")</f>
        <v/>
      </c>
      <c r="D365" s="8" t="n"/>
      <c r="E365" s="8" t="n"/>
      <c r="F365" s="8" t="n"/>
      <c r="G365" s="8">
        <f>IF(COUNT(D365:F365)=0,"",SUM(D365:F365))</f>
        <v/>
      </c>
      <c r="H365" s="9" t="n"/>
    </row>
    <row r="366">
      <c r="A366" s="8">
        <f>IF(Applications!A184="","",Applications!A184)</f>
        <v/>
      </c>
      <c r="B366" s="8">
        <f>IF(Applications!A184="","",Applications!C184)</f>
        <v/>
      </c>
      <c r="C366" s="8">
        <f>IF(Applications!A184="","","Reader 1")</f>
        <v/>
      </c>
      <c r="D366" s="8" t="n"/>
      <c r="E366" s="8" t="n"/>
      <c r="F366" s="8" t="n"/>
      <c r="G366" s="8">
        <f>IF(COUNT(D366:F366)=0,"",SUM(D366:F366))</f>
        <v/>
      </c>
      <c r="H366" s="9" t="n"/>
    </row>
    <row r="367">
      <c r="A367" s="8">
        <f>IF(Applications!A184="","",Applications!A184)</f>
        <v/>
      </c>
      <c r="B367" s="8">
        <f>IF(Applications!A184="","",Applications!C184)</f>
        <v/>
      </c>
      <c r="C367" s="8">
        <f>IF(Applications!A184="","","Reader 2")</f>
        <v/>
      </c>
      <c r="D367" s="8" t="n"/>
      <c r="E367" s="8" t="n"/>
      <c r="F367" s="8" t="n"/>
      <c r="G367" s="8">
        <f>IF(COUNT(D367:F367)=0,"",SUM(D367:F367))</f>
        <v/>
      </c>
      <c r="H367" s="9" t="n"/>
    </row>
    <row r="368">
      <c r="A368" s="8">
        <f>IF(Applications!A185="","",Applications!A185)</f>
        <v/>
      </c>
      <c r="B368" s="8">
        <f>IF(Applications!A185="","",Applications!C185)</f>
        <v/>
      </c>
      <c r="C368" s="8">
        <f>IF(Applications!A185="","","Reader 1")</f>
        <v/>
      </c>
      <c r="D368" s="8" t="n"/>
      <c r="E368" s="8" t="n"/>
      <c r="F368" s="8" t="n"/>
      <c r="G368" s="8">
        <f>IF(COUNT(D368:F368)=0,"",SUM(D368:F368))</f>
        <v/>
      </c>
      <c r="H368" s="9" t="n"/>
    </row>
    <row r="369">
      <c r="A369" s="8">
        <f>IF(Applications!A185="","",Applications!A185)</f>
        <v/>
      </c>
      <c r="B369" s="8">
        <f>IF(Applications!A185="","",Applications!C185)</f>
        <v/>
      </c>
      <c r="C369" s="8">
        <f>IF(Applications!A185="","","Reader 2")</f>
        <v/>
      </c>
      <c r="D369" s="8" t="n"/>
      <c r="E369" s="8" t="n"/>
      <c r="F369" s="8" t="n"/>
      <c r="G369" s="8">
        <f>IF(COUNT(D369:F369)=0,"",SUM(D369:F369))</f>
        <v/>
      </c>
      <c r="H369" s="9" t="n"/>
    </row>
    <row r="370">
      <c r="A370" s="8">
        <f>IF(Applications!A186="","",Applications!A186)</f>
        <v/>
      </c>
      <c r="B370" s="8">
        <f>IF(Applications!A186="","",Applications!C186)</f>
        <v/>
      </c>
      <c r="C370" s="8">
        <f>IF(Applications!A186="","","Reader 1")</f>
        <v/>
      </c>
      <c r="D370" s="8" t="n"/>
      <c r="E370" s="8" t="n"/>
      <c r="F370" s="8" t="n"/>
      <c r="G370" s="8">
        <f>IF(COUNT(D370:F370)=0,"",SUM(D370:F370))</f>
        <v/>
      </c>
      <c r="H370" s="9" t="n"/>
    </row>
    <row r="371">
      <c r="A371" s="8">
        <f>IF(Applications!A186="","",Applications!A186)</f>
        <v/>
      </c>
      <c r="B371" s="8">
        <f>IF(Applications!A186="","",Applications!C186)</f>
        <v/>
      </c>
      <c r="C371" s="8">
        <f>IF(Applications!A186="","","Reader 2")</f>
        <v/>
      </c>
      <c r="D371" s="8" t="n"/>
      <c r="E371" s="8" t="n"/>
      <c r="F371" s="8" t="n"/>
      <c r="G371" s="8">
        <f>IF(COUNT(D371:F371)=0,"",SUM(D371:F371))</f>
        <v/>
      </c>
      <c r="H371" s="9" t="n"/>
    </row>
    <row r="372">
      <c r="A372" s="8">
        <f>IF(Applications!A187="","",Applications!A187)</f>
        <v/>
      </c>
      <c r="B372" s="8">
        <f>IF(Applications!A187="","",Applications!C187)</f>
        <v/>
      </c>
      <c r="C372" s="8">
        <f>IF(Applications!A187="","","Reader 1")</f>
        <v/>
      </c>
      <c r="D372" s="8" t="n"/>
      <c r="E372" s="8" t="n"/>
      <c r="F372" s="8" t="n"/>
      <c r="G372" s="8">
        <f>IF(COUNT(D372:F372)=0,"",SUM(D372:F372))</f>
        <v/>
      </c>
      <c r="H372" s="9" t="n"/>
    </row>
    <row r="373">
      <c r="A373" s="8">
        <f>IF(Applications!A187="","",Applications!A187)</f>
        <v/>
      </c>
      <c r="B373" s="8">
        <f>IF(Applications!A187="","",Applications!C187)</f>
        <v/>
      </c>
      <c r="C373" s="8">
        <f>IF(Applications!A187="","","Reader 2")</f>
        <v/>
      </c>
      <c r="D373" s="8" t="n"/>
      <c r="E373" s="8" t="n"/>
      <c r="F373" s="8" t="n"/>
      <c r="G373" s="8">
        <f>IF(COUNT(D373:F373)=0,"",SUM(D373:F373))</f>
        <v/>
      </c>
      <c r="H373" s="9" t="n"/>
    </row>
    <row r="374">
      <c r="A374" s="8">
        <f>IF(Applications!A188="","",Applications!A188)</f>
        <v/>
      </c>
      <c r="B374" s="8">
        <f>IF(Applications!A188="","",Applications!C188)</f>
        <v/>
      </c>
      <c r="C374" s="8">
        <f>IF(Applications!A188="","","Reader 1")</f>
        <v/>
      </c>
      <c r="D374" s="8" t="n"/>
      <c r="E374" s="8" t="n"/>
      <c r="F374" s="8" t="n"/>
      <c r="G374" s="8">
        <f>IF(COUNT(D374:F374)=0,"",SUM(D374:F374))</f>
        <v/>
      </c>
      <c r="H374" s="9" t="n"/>
    </row>
    <row r="375">
      <c r="A375" s="8">
        <f>IF(Applications!A188="","",Applications!A188)</f>
        <v/>
      </c>
      <c r="B375" s="8">
        <f>IF(Applications!A188="","",Applications!C188)</f>
        <v/>
      </c>
      <c r="C375" s="8">
        <f>IF(Applications!A188="","","Reader 2")</f>
        <v/>
      </c>
      <c r="D375" s="8" t="n"/>
      <c r="E375" s="8" t="n"/>
      <c r="F375" s="8" t="n"/>
      <c r="G375" s="8">
        <f>IF(COUNT(D375:F375)=0,"",SUM(D375:F375))</f>
        <v/>
      </c>
      <c r="H375" s="9" t="n"/>
    </row>
    <row r="376">
      <c r="A376" s="8">
        <f>IF(Applications!A189="","",Applications!A189)</f>
        <v/>
      </c>
      <c r="B376" s="8">
        <f>IF(Applications!A189="","",Applications!C189)</f>
        <v/>
      </c>
      <c r="C376" s="8">
        <f>IF(Applications!A189="","","Reader 1")</f>
        <v/>
      </c>
      <c r="D376" s="8" t="n"/>
      <c r="E376" s="8" t="n"/>
      <c r="F376" s="8" t="n"/>
      <c r="G376" s="8">
        <f>IF(COUNT(D376:F376)=0,"",SUM(D376:F376))</f>
        <v/>
      </c>
      <c r="H376" s="9" t="n"/>
    </row>
    <row r="377">
      <c r="A377" s="8">
        <f>IF(Applications!A189="","",Applications!A189)</f>
        <v/>
      </c>
      <c r="B377" s="8">
        <f>IF(Applications!A189="","",Applications!C189)</f>
        <v/>
      </c>
      <c r="C377" s="8">
        <f>IF(Applications!A189="","","Reader 2")</f>
        <v/>
      </c>
      <c r="D377" s="8" t="n"/>
      <c r="E377" s="8" t="n"/>
      <c r="F377" s="8" t="n"/>
      <c r="G377" s="8">
        <f>IF(COUNT(D377:F377)=0,"",SUM(D377:F377))</f>
        <v/>
      </c>
      <c r="H377" s="9" t="n"/>
    </row>
    <row r="378">
      <c r="A378" s="8">
        <f>IF(Applications!A190="","",Applications!A190)</f>
        <v/>
      </c>
      <c r="B378" s="8">
        <f>IF(Applications!A190="","",Applications!C190)</f>
        <v/>
      </c>
      <c r="C378" s="8">
        <f>IF(Applications!A190="","","Reader 1")</f>
        <v/>
      </c>
      <c r="D378" s="8" t="n"/>
      <c r="E378" s="8" t="n"/>
      <c r="F378" s="8" t="n"/>
      <c r="G378" s="8">
        <f>IF(COUNT(D378:F378)=0,"",SUM(D378:F378))</f>
        <v/>
      </c>
      <c r="H378" s="9" t="n"/>
    </row>
    <row r="379">
      <c r="A379" s="8">
        <f>IF(Applications!A190="","",Applications!A190)</f>
        <v/>
      </c>
      <c r="B379" s="8">
        <f>IF(Applications!A190="","",Applications!C190)</f>
        <v/>
      </c>
      <c r="C379" s="8">
        <f>IF(Applications!A190="","","Reader 2")</f>
        <v/>
      </c>
      <c r="D379" s="8" t="n"/>
      <c r="E379" s="8" t="n"/>
      <c r="F379" s="8" t="n"/>
      <c r="G379" s="8">
        <f>IF(COUNT(D379:F379)=0,"",SUM(D379:F379))</f>
        <v/>
      </c>
      <c r="H379" s="9" t="n"/>
    </row>
    <row r="380">
      <c r="A380" s="8">
        <f>IF(Applications!A191="","",Applications!A191)</f>
        <v/>
      </c>
      <c r="B380" s="8">
        <f>IF(Applications!A191="","",Applications!C191)</f>
        <v/>
      </c>
      <c r="C380" s="8">
        <f>IF(Applications!A191="","","Reader 1")</f>
        <v/>
      </c>
      <c r="D380" s="8" t="n"/>
      <c r="E380" s="8" t="n"/>
      <c r="F380" s="8" t="n"/>
      <c r="G380" s="8">
        <f>IF(COUNT(D380:F380)=0,"",SUM(D380:F380))</f>
        <v/>
      </c>
      <c r="H380" s="9" t="n"/>
    </row>
    <row r="381">
      <c r="A381" s="8">
        <f>IF(Applications!A191="","",Applications!A191)</f>
        <v/>
      </c>
      <c r="B381" s="8">
        <f>IF(Applications!A191="","",Applications!C191)</f>
        <v/>
      </c>
      <c r="C381" s="8">
        <f>IF(Applications!A191="","","Reader 2")</f>
        <v/>
      </c>
      <c r="D381" s="8" t="n"/>
      <c r="E381" s="8" t="n"/>
      <c r="F381" s="8" t="n"/>
      <c r="G381" s="8">
        <f>IF(COUNT(D381:F381)=0,"",SUM(D381:F381))</f>
        <v/>
      </c>
      <c r="H381" s="9" t="n"/>
    </row>
    <row r="382">
      <c r="A382" s="8">
        <f>IF(Applications!A192="","",Applications!A192)</f>
        <v/>
      </c>
      <c r="B382" s="8">
        <f>IF(Applications!A192="","",Applications!C192)</f>
        <v/>
      </c>
      <c r="C382" s="8">
        <f>IF(Applications!A192="","","Reader 1")</f>
        <v/>
      </c>
      <c r="D382" s="8" t="n"/>
      <c r="E382" s="8" t="n"/>
      <c r="F382" s="8" t="n"/>
      <c r="G382" s="8">
        <f>IF(COUNT(D382:F382)=0,"",SUM(D382:F382))</f>
        <v/>
      </c>
      <c r="H382" s="9" t="n"/>
    </row>
    <row r="383">
      <c r="A383" s="8">
        <f>IF(Applications!A192="","",Applications!A192)</f>
        <v/>
      </c>
      <c r="B383" s="8">
        <f>IF(Applications!A192="","",Applications!C192)</f>
        <v/>
      </c>
      <c r="C383" s="8">
        <f>IF(Applications!A192="","","Reader 2")</f>
        <v/>
      </c>
      <c r="D383" s="8" t="n"/>
      <c r="E383" s="8" t="n"/>
      <c r="F383" s="8" t="n"/>
      <c r="G383" s="8">
        <f>IF(COUNT(D383:F383)=0,"",SUM(D383:F383))</f>
        <v/>
      </c>
      <c r="H383" s="9" t="n"/>
    </row>
    <row r="384">
      <c r="A384" s="8">
        <f>IF(Applications!A193="","",Applications!A193)</f>
        <v/>
      </c>
      <c r="B384" s="8">
        <f>IF(Applications!A193="","",Applications!C193)</f>
        <v/>
      </c>
      <c r="C384" s="8">
        <f>IF(Applications!A193="","","Reader 1")</f>
        <v/>
      </c>
      <c r="D384" s="8" t="n"/>
      <c r="E384" s="8" t="n"/>
      <c r="F384" s="8" t="n"/>
      <c r="G384" s="8">
        <f>IF(COUNT(D384:F384)=0,"",SUM(D384:F384))</f>
        <v/>
      </c>
      <c r="H384" s="9" t="n"/>
    </row>
    <row r="385">
      <c r="A385" s="8">
        <f>IF(Applications!A193="","",Applications!A193)</f>
        <v/>
      </c>
      <c r="B385" s="8">
        <f>IF(Applications!A193="","",Applications!C193)</f>
        <v/>
      </c>
      <c r="C385" s="8">
        <f>IF(Applications!A193="","","Reader 2")</f>
        <v/>
      </c>
      <c r="D385" s="8" t="n"/>
      <c r="E385" s="8" t="n"/>
      <c r="F385" s="8" t="n"/>
      <c r="G385" s="8">
        <f>IF(COUNT(D385:F385)=0,"",SUM(D385:F385))</f>
        <v/>
      </c>
      <c r="H385" s="9" t="n"/>
    </row>
    <row r="386">
      <c r="A386" s="8">
        <f>IF(Applications!A194="","",Applications!A194)</f>
        <v/>
      </c>
      <c r="B386" s="8">
        <f>IF(Applications!A194="","",Applications!C194)</f>
        <v/>
      </c>
      <c r="C386" s="8">
        <f>IF(Applications!A194="","","Reader 1")</f>
        <v/>
      </c>
      <c r="D386" s="8" t="n"/>
      <c r="E386" s="8" t="n"/>
      <c r="F386" s="8" t="n"/>
      <c r="G386" s="8">
        <f>IF(COUNT(D386:F386)=0,"",SUM(D386:F386))</f>
        <v/>
      </c>
      <c r="H386" s="9" t="n"/>
    </row>
    <row r="387">
      <c r="A387" s="8">
        <f>IF(Applications!A194="","",Applications!A194)</f>
        <v/>
      </c>
      <c r="B387" s="8">
        <f>IF(Applications!A194="","",Applications!C194)</f>
        <v/>
      </c>
      <c r="C387" s="8">
        <f>IF(Applications!A194="","","Reader 2")</f>
        <v/>
      </c>
      <c r="D387" s="8" t="n"/>
      <c r="E387" s="8" t="n"/>
      <c r="F387" s="8" t="n"/>
      <c r="G387" s="8">
        <f>IF(COUNT(D387:F387)=0,"",SUM(D387:F387))</f>
        <v/>
      </c>
      <c r="H387" s="9" t="n"/>
    </row>
    <row r="388">
      <c r="A388" s="8">
        <f>IF(Applications!A195="","",Applications!A195)</f>
        <v/>
      </c>
      <c r="B388" s="8">
        <f>IF(Applications!A195="","",Applications!C195)</f>
        <v/>
      </c>
      <c r="C388" s="8">
        <f>IF(Applications!A195="","","Reader 1")</f>
        <v/>
      </c>
      <c r="D388" s="8" t="n"/>
      <c r="E388" s="8" t="n"/>
      <c r="F388" s="8" t="n"/>
      <c r="G388" s="8">
        <f>IF(COUNT(D388:F388)=0,"",SUM(D388:F388))</f>
        <v/>
      </c>
      <c r="H388" s="9" t="n"/>
    </row>
    <row r="389">
      <c r="A389" s="8">
        <f>IF(Applications!A195="","",Applications!A195)</f>
        <v/>
      </c>
      <c r="B389" s="8">
        <f>IF(Applications!A195="","",Applications!C195)</f>
        <v/>
      </c>
      <c r="C389" s="8">
        <f>IF(Applications!A195="","","Reader 2")</f>
        <v/>
      </c>
      <c r="D389" s="8" t="n"/>
      <c r="E389" s="8" t="n"/>
      <c r="F389" s="8" t="n"/>
      <c r="G389" s="8">
        <f>IF(COUNT(D389:F389)=0,"",SUM(D389:F389))</f>
        <v/>
      </c>
      <c r="H389" s="9" t="n"/>
    </row>
    <row r="390">
      <c r="A390" s="8">
        <f>IF(Applications!A196="","",Applications!A196)</f>
        <v/>
      </c>
      <c r="B390" s="8">
        <f>IF(Applications!A196="","",Applications!C196)</f>
        <v/>
      </c>
      <c r="C390" s="8">
        <f>IF(Applications!A196="","","Reader 1")</f>
        <v/>
      </c>
      <c r="D390" s="8" t="n"/>
      <c r="E390" s="8" t="n"/>
      <c r="F390" s="8" t="n"/>
      <c r="G390" s="8">
        <f>IF(COUNT(D390:F390)=0,"",SUM(D390:F390))</f>
        <v/>
      </c>
      <c r="H390" s="9" t="n"/>
    </row>
    <row r="391">
      <c r="A391" s="8">
        <f>IF(Applications!A196="","",Applications!A196)</f>
        <v/>
      </c>
      <c r="B391" s="8">
        <f>IF(Applications!A196="","",Applications!C196)</f>
        <v/>
      </c>
      <c r="C391" s="8">
        <f>IF(Applications!A196="","","Reader 2")</f>
        <v/>
      </c>
      <c r="D391" s="8" t="n"/>
      <c r="E391" s="8" t="n"/>
      <c r="F391" s="8" t="n"/>
      <c r="G391" s="8">
        <f>IF(COUNT(D391:F391)=0,"",SUM(D391:F391))</f>
        <v/>
      </c>
      <c r="H391" s="9" t="n"/>
    </row>
    <row r="392">
      <c r="A392" s="8">
        <f>IF(Applications!A197="","",Applications!A197)</f>
        <v/>
      </c>
      <c r="B392" s="8">
        <f>IF(Applications!A197="","",Applications!C197)</f>
        <v/>
      </c>
      <c r="C392" s="8">
        <f>IF(Applications!A197="","","Reader 1")</f>
        <v/>
      </c>
      <c r="D392" s="8" t="n"/>
      <c r="E392" s="8" t="n"/>
      <c r="F392" s="8" t="n"/>
      <c r="G392" s="8">
        <f>IF(COUNT(D392:F392)=0,"",SUM(D392:F392))</f>
        <v/>
      </c>
      <c r="H392" s="9" t="n"/>
    </row>
    <row r="393">
      <c r="A393" s="8">
        <f>IF(Applications!A197="","",Applications!A197)</f>
        <v/>
      </c>
      <c r="B393" s="8">
        <f>IF(Applications!A197="","",Applications!C197)</f>
        <v/>
      </c>
      <c r="C393" s="8">
        <f>IF(Applications!A197="","","Reader 2")</f>
        <v/>
      </c>
      <c r="D393" s="8" t="n"/>
      <c r="E393" s="8" t="n"/>
      <c r="F393" s="8" t="n"/>
      <c r="G393" s="8">
        <f>IF(COUNT(D393:F393)=0,"",SUM(D393:F393))</f>
        <v/>
      </c>
      <c r="H393" s="9" t="n"/>
    </row>
    <row r="394">
      <c r="A394" s="8">
        <f>IF(Applications!A198="","",Applications!A198)</f>
        <v/>
      </c>
      <c r="B394" s="8">
        <f>IF(Applications!A198="","",Applications!C198)</f>
        <v/>
      </c>
      <c r="C394" s="8">
        <f>IF(Applications!A198="","","Reader 1")</f>
        <v/>
      </c>
      <c r="D394" s="8" t="n"/>
      <c r="E394" s="8" t="n"/>
      <c r="F394" s="8" t="n"/>
      <c r="G394" s="8">
        <f>IF(COUNT(D394:F394)=0,"",SUM(D394:F394))</f>
        <v/>
      </c>
      <c r="H394" s="9" t="n"/>
    </row>
    <row r="395">
      <c r="A395" s="8">
        <f>IF(Applications!A198="","",Applications!A198)</f>
        <v/>
      </c>
      <c r="B395" s="8">
        <f>IF(Applications!A198="","",Applications!C198)</f>
        <v/>
      </c>
      <c r="C395" s="8">
        <f>IF(Applications!A198="","","Reader 2")</f>
        <v/>
      </c>
      <c r="D395" s="8" t="n"/>
      <c r="E395" s="8" t="n"/>
      <c r="F395" s="8" t="n"/>
      <c r="G395" s="8">
        <f>IF(COUNT(D395:F395)=0,"",SUM(D395:F395))</f>
        <v/>
      </c>
      <c r="H395" s="9" t="n"/>
    </row>
    <row r="396">
      <c r="A396" s="8">
        <f>IF(Applications!A199="","",Applications!A199)</f>
        <v/>
      </c>
      <c r="B396" s="8">
        <f>IF(Applications!A199="","",Applications!C199)</f>
        <v/>
      </c>
      <c r="C396" s="8">
        <f>IF(Applications!A199="","","Reader 1")</f>
        <v/>
      </c>
      <c r="D396" s="8" t="n"/>
      <c r="E396" s="8" t="n"/>
      <c r="F396" s="8" t="n"/>
      <c r="G396" s="8">
        <f>IF(COUNT(D396:F396)=0,"",SUM(D396:F396))</f>
        <v/>
      </c>
      <c r="H396" s="9" t="n"/>
    </row>
    <row r="397">
      <c r="A397" s="8">
        <f>IF(Applications!A199="","",Applications!A199)</f>
        <v/>
      </c>
      <c r="B397" s="8">
        <f>IF(Applications!A199="","",Applications!C199)</f>
        <v/>
      </c>
      <c r="C397" s="8">
        <f>IF(Applications!A199="","","Reader 2")</f>
        <v/>
      </c>
      <c r="D397" s="8" t="n"/>
      <c r="E397" s="8" t="n"/>
      <c r="F397" s="8" t="n"/>
      <c r="G397" s="8">
        <f>IF(COUNT(D397:F397)=0,"",SUM(D397:F397))</f>
        <v/>
      </c>
      <c r="H397" s="9" t="n"/>
    </row>
    <row r="398">
      <c r="A398" s="8">
        <f>IF(Applications!A200="","",Applications!A200)</f>
        <v/>
      </c>
      <c r="B398" s="8">
        <f>IF(Applications!A200="","",Applications!C200)</f>
        <v/>
      </c>
      <c r="C398" s="8">
        <f>IF(Applications!A200="","","Reader 1")</f>
        <v/>
      </c>
      <c r="D398" s="8" t="n"/>
      <c r="E398" s="8" t="n"/>
      <c r="F398" s="8" t="n"/>
      <c r="G398" s="8">
        <f>IF(COUNT(D398:F398)=0,"",SUM(D398:F398))</f>
        <v/>
      </c>
      <c r="H398" s="9" t="n"/>
    </row>
    <row r="399">
      <c r="A399" s="8">
        <f>IF(Applications!A200="","",Applications!A200)</f>
        <v/>
      </c>
      <c r="B399" s="8">
        <f>IF(Applications!A200="","",Applications!C200)</f>
        <v/>
      </c>
      <c r="C399" s="8">
        <f>IF(Applications!A200="","","Reader 2")</f>
        <v/>
      </c>
      <c r="D399" s="8" t="n"/>
      <c r="E399" s="8" t="n"/>
      <c r="F399" s="8" t="n"/>
      <c r="G399" s="8">
        <f>IF(COUNT(D399:F399)=0,"",SUM(D399:F399))</f>
        <v/>
      </c>
      <c r="H399" s="9" t="n"/>
    </row>
    <row r="400">
      <c r="A400" s="8">
        <f>IF(Applications!A201="","",Applications!A201)</f>
        <v/>
      </c>
      <c r="B400" s="8">
        <f>IF(Applications!A201="","",Applications!C201)</f>
        <v/>
      </c>
      <c r="C400" s="8">
        <f>IF(Applications!A201="","","Reader 1")</f>
        <v/>
      </c>
      <c r="D400" s="8" t="n"/>
      <c r="E400" s="8" t="n"/>
      <c r="F400" s="8" t="n"/>
      <c r="G400" s="8">
        <f>IF(COUNT(D400:F400)=0,"",SUM(D400:F400))</f>
        <v/>
      </c>
      <c r="H400" s="9" t="n"/>
    </row>
    <row r="401">
      <c r="A401" s="8">
        <f>IF(Applications!A201="","",Applications!A201)</f>
        <v/>
      </c>
      <c r="B401" s="8">
        <f>IF(Applications!A201="","",Applications!C201)</f>
        <v/>
      </c>
      <c r="C401" s="8">
        <f>IF(Applications!A201="","","Reader 2")</f>
        <v/>
      </c>
      <c r="D401" s="8" t="n"/>
      <c r="E401" s="8" t="n"/>
      <c r="F401" s="8" t="n"/>
      <c r="G401" s="8">
        <f>IF(COUNT(D401:F401)=0,"",SUM(D401:F401))</f>
        <v/>
      </c>
      <c r="H401" s="9" t="n"/>
    </row>
  </sheetData>
  <dataValidations count="1">
    <dataValidation sqref="D2:F401" showDropDown="0" showInputMessage="0" showErrorMessage="1" allowBlank="1" errorTitle="Scores are 1–5" error="Each rubric category is scored 1 to 5, whole numbers only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232A"/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4" customWidth="1" min="4" max="4"/>
    <col width="12" customWidth="1" min="5" max="5"/>
    <col width="32" customWidth="1" min="6" max="6"/>
    <col width="8" customWidth="1" min="7" max="7"/>
  </cols>
  <sheetData>
    <row r="1" ht="28" customHeight="1">
      <c r="A1" s="7" t="inlineStr">
        <is>
          <t>ID</t>
        </is>
      </c>
      <c r="B1" s="7" t="inlineStr">
        <is>
          <t>Applicant</t>
        </is>
      </c>
      <c r="C1" s="7" t="inlineStr">
        <is>
          <t>Reader 1 total</t>
        </is>
      </c>
      <c r="D1" s="7" t="inlineStr">
        <is>
          <t>Reader 2 total</t>
        </is>
      </c>
      <c r="E1" s="7" t="inlineStr">
        <is>
          <t>Combined</t>
        </is>
      </c>
      <c r="F1" s="7" t="inlineStr">
        <is>
          <t>Tie-break: 'What $1,000 changes' combined</t>
        </is>
      </c>
      <c r="G1" s="7" t="inlineStr">
        <is>
          <t>Rank</t>
        </is>
      </c>
    </row>
    <row r="2">
      <c r="A2" s="8">
        <f>IF(Applications!A2="","",Applications!A2)</f>
        <v/>
      </c>
      <c r="B2" s="8">
        <f>IF(Applications!A2="","",Applications!C2)</f>
        <v/>
      </c>
      <c r="C2" s="8">
        <f>IF(Applications!A2="","",Scoring!G2)</f>
        <v/>
      </c>
      <c r="D2" s="8">
        <f>IF(Applications!A2="","",Scoring!G3)</f>
        <v/>
      </c>
      <c r="E2" s="8">
        <f>IF(Applications!A2="","",IF(COUNT(C2:D2)=0,"",SUM(C2:D2)))</f>
        <v/>
      </c>
      <c r="F2" s="8">
        <f>IF(Applications!A2="","",SUM(Scoring!F2,Scoring!F3))</f>
        <v/>
      </c>
      <c r="G2" s="8">
        <f>IF(OR(Applications!A2="",E2=""),"",RANK(E2,$E$2:$E$201))</f>
        <v/>
      </c>
    </row>
    <row r="3">
      <c r="A3" s="8">
        <f>IF(Applications!A3="","",Applications!A3)</f>
        <v/>
      </c>
      <c r="B3" s="8">
        <f>IF(Applications!A3="","",Applications!C3)</f>
        <v/>
      </c>
      <c r="C3" s="8">
        <f>IF(Applications!A3="","",Scoring!G4)</f>
        <v/>
      </c>
      <c r="D3" s="8">
        <f>IF(Applications!A3="","",Scoring!G5)</f>
        <v/>
      </c>
      <c r="E3" s="8">
        <f>IF(Applications!A3="","",IF(COUNT(C3:D3)=0,"",SUM(C3:D3)))</f>
        <v/>
      </c>
      <c r="F3" s="8">
        <f>IF(Applications!A3="","",SUM(Scoring!F4,Scoring!F5))</f>
        <v/>
      </c>
      <c r="G3" s="8">
        <f>IF(OR(Applications!A3="",E3=""),"",RANK(E3,$E$2:$E$201))</f>
        <v/>
      </c>
    </row>
    <row r="4">
      <c r="A4" s="8">
        <f>IF(Applications!A4="","",Applications!A4)</f>
        <v/>
      </c>
      <c r="B4" s="8">
        <f>IF(Applications!A4="","",Applications!C4)</f>
        <v/>
      </c>
      <c r="C4" s="8">
        <f>IF(Applications!A4="","",Scoring!G6)</f>
        <v/>
      </c>
      <c r="D4" s="8">
        <f>IF(Applications!A4="","",Scoring!G7)</f>
        <v/>
      </c>
      <c r="E4" s="8">
        <f>IF(Applications!A4="","",IF(COUNT(C4:D4)=0,"",SUM(C4:D4)))</f>
        <v/>
      </c>
      <c r="F4" s="8">
        <f>IF(Applications!A4="","",SUM(Scoring!F6,Scoring!F7))</f>
        <v/>
      </c>
      <c r="G4" s="8">
        <f>IF(OR(Applications!A4="",E4=""),"",RANK(E4,$E$2:$E$201))</f>
        <v/>
      </c>
    </row>
    <row r="5">
      <c r="A5" s="8">
        <f>IF(Applications!A5="","",Applications!A5)</f>
        <v/>
      </c>
      <c r="B5" s="8">
        <f>IF(Applications!A5="","",Applications!C5)</f>
        <v/>
      </c>
      <c r="C5" s="8">
        <f>IF(Applications!A5="","",Scoring!G8)</f>
        <v/>
      </c>
      <c r="D5" s="8">
        <f>IF(Applications!A5="","",Scoring!G9)</f>
        <v/>
      </c>
      <c r="E5" s="8">
        <f>IF(Applications!A5="","",IF(COUNT(C5:D5)=0,"",SUM(C5:D5)))</f>
        <v/>
      </c>
      <c r="F5" s="8">
        <f>IF(Applications!A5="","",SUM(Scoring!F8,Scoring!F9))</f>
        <v/>
      </c>
      <c r="G5" s="8">
        <f>IF(OR(Applications!A5="",E5=""),"",RANK(E5,$E$2:$E$201))</f>
        <v/>
      </c>
    </row>
    <row r="6">
      <c r="A6" s="8">
        <f>IF(Applications!A6="","",Applications!A6)</f>
        <v/>
      </c>
      <c r="B6" s="8">
        <f>IF(Applications!A6="","",Applications!C6)</f>
        <v/>
      </c>
      <c r="C6" s="8">
        <f>IF(Applications!A6="","",Scoring!G10)</f>
        <v/>
      </c>
      <c r="D6" s="8">
        <f>IF(Applications!A6="","",Scoring!G11)</f>
        <v/>
      </c>
      <c r="E6" s="8">
        <f>IF(Applications!A6="","",IF(COUNT(C6:D6)=0,"",SUM(C6:D6)))</f>
        <v/>
      </c>
      <c r="F6" s="8">
        <f>IF(Applications!A6="","",SUM(Scoring!F10,Scoring!F11))</f>
        <v/>
      </c>
      <c r="G6" s="8">
        <f>IF(OR(Applications!A6="",E6=""),"",RANK(E6,$E$2:$E$201))</f>
        <v/>
      </c>
    </row>
    <row r="7">
      <c r="A7" s="8">
        <f>IF(Applications!A7="","",Applications!A7)</f>
        <v/>
      </c>
      <c r="B7" s="8">
        <f>IF(Applications!A7="","",Applications!C7)</f>
        <v/>
      </c>
      <c r="C7" s="8">
        <f>IF(Applications!A7="","",Scoring!G12)</f>
        <v/>
      </c>
      <c r="D7" s="8">
        <f>IF(Applications!A7="","",Scoring!G13)</f>
        <v/>
      </c>
      <c r="E7" s="8">
        <f>IF(Applications!A7="","",IF(COUNT(C7:D7)=0,"",SUM(C7:D7)))</f>
        <v/>
      </c>
      <c r="F7" s="8">
        <f>IF(Applications!A7="","",SUM(Scoring!F12,Scoring!F13))</f>
        <v/>
      </c>
      <c r="G7" s="8">
        <f>IF(OR(Applications!A7="",E7=""),"",RANK(E7,$E$2:$E$201))</f>
        <v/>
      </c>
    </row>
    <row r="8">
      <c r="A8" s="8">
        <f>IF(Applications!A8="","",Applications!A8)</f>
        <v/>
      </c>
      <c r="B8" s="8">
        <f>IF(Applications!A8="","",Applications!C8)</f>
        <v/>
      </c>
      <c r="C8" s="8">
        <f>IF(Applications!A8="","",Scoring!G14)</f>
        <v/>
      </c>
      <c r="D8" s="8">
        <f>IF(Applications!A8="","",Scoring!G15)</f>
        <v/>
      </c>
      <c r="E8" s="8">
        <f>IF(Applications!A8="","",IF(COUNT(C8:D8)=0,"",SUM(C8:D8)))</f>
        <v/>
      </c>
      <c r="F8" s="8">
        <f>IF(Applications!A8="","",SUM(Scoring!F14,Scoring!F15))</f>
        <v/>
      </c>
      <c r="G8" s="8">
        <f>IF(OR(Applications!A8="",E8=""),"",RANK(E8,$E$2:$E$201))</f>
        <v/>
      </c>
    </row>
    <row r="9">
      <c r="A9" s="8">
        <f>IF(Applications!A9="","",Applications!A9)</f>
        <v/>
      </c>
      <c r="B9" s="8">
        <f>IF(Applications!A9="","",Applications!C9)</f>
        <v/>
      </c>
      <c r="C9" s="8">
        <f>IF(Applications!A9="","",Scoring!G16)</f>
        <v/>
      </c>
      <c r="D9" s="8">
        <f>IF(Applications!A9="","",Scoring!G17)</f>
        <v/>
      </c>
      <c r="E9" s="8">
        <f>IF(Applications!A9="","",IF(COUNT(C9:D9)=0,"",SUM(C9:D9)))</f>
        <v/>
      </c>
      <c r="F9" s="8">
        <f>IF(Applications!A9="","",SUM(Scoring!F16,Scoring!F17))</f>
        <v/>
      </c>
      <c r="G9" s="8">
        <f>IF(OR(Applications!A9="",E9=""),"",RANK(E9,$E$2:$E$201))</f>
        <v/>
      </c>
    </row>
    <row r="10">
      <c r="A10" s="8">
        <f>IF(Applications!A10="","",Applications!A10)</f>
        <v/>
      </c>
      <c r="B10" s="8">
        <f>IF(Applications!A10="","",Applications!C10)</f>
        <v/>
      </c>
      <c r="C10" s="8">
        <f>IF(Applications!A10="","",Scoring!G18)</f>
        <v/>
      </c>
      <c r="D10" s="8">
        <f>IF(Applications!A10="","",Scoring!G19)</f>
        <v/>
      </c>
      <c r="E10" s="8">
        <f>IF(Applications!A10="","",IF(COUNT(C10:D10)=0,"",SUM(C10:D10)))</f>
        <v/>
      </c>
      <c r="F10" s="8">
        <f>IF(Applications!A10="","",SUM(Scoring!F18,Scoring!F19))</f>
        <v/>
      </c>
      <c r="G10" s="8">
        <f>IF(OR(Applications!A10="",E10=""),"",RANK(E10,$E$2:$E$201))</f>
        <v/>
      </c>
    </row>
    <row r="11">
      <c r="A11" s="8">
        <f>IF(Applications!A11="","",Applications!A11)</f>
        <v/>
      </c>
      <c r="B11" s="8">
        <f>IF(Applications!A11="","",Applications!C11)</f>
        <v/>
      </c>
      <c r="C11" s="8">
        <f>IF(Applications!A11="","",Scoring!G20)</f>
        <v/>
      </c>
      <c r="D11" s="8">
        <f>IF(Applications!A11="","",Scoring!G21)</f>
        <v/>
      </c>
      <c r="E11" s="8">
        <f>IF(Applications!A11="","",IF(COUNT(C11:D11)=0,"",SUM(C11:D11)))</f>
        <v/>
      </c>
      <c r="F11" s="8">
        <f>IF(Applications!A11="","",SUM(Scoring!F20,Scoring!F21))</f>
        <v/>
      </c>
      <c r="G11" s="8">
        <f>IF(OR(Applications!A11="",E11=""),"",RANK(E11,$E$2:$E$201))</f>
        <v/>
      </c>
    </row>
    <row r="12">
      <c r="A12" s="8">
        <f>IF(Applications!A12="","",Applications!A12)</f>
        <v/>
      </c>
      <c r="B12" s="8">
        <f>IF(Applications!A12="","",Applications!C12)</f>
        <v/>
      </c>
      <c r="C12" s="8">
        <f>IF(Applications!A12="","",Scoring!G22)</f>
        <v/>
      </c>
      <c r="D12" s="8">
        <f>IF(Applications!A12="","",Scoring!G23)</f>
        <v/>
      </c>
      <c r="E12" s="8">
        <f>IF(Applications!A12="","",IF(COUNT(C12:D12)=0,"",SUM(C12:D12)))</f>
        <v/>
      </c>
      <c r="F12" s="8">
        <f>IF(Applications!A12="","",SUM(Scoring!F22,Scoring!F23))</f>
        <v/>
      </c>
      <c r="G12" s="8">
        <f>IF(OR(Applications!A12="",E12=""),"",RANK(E12,$E$2:$E$201))</f>
        <v/>
      </c>
    </row>
    <row r="13">
      <c r="A13" s="8">
        <f>IF(Applications!A13="","",Applications!A13)</f>
        <v/>
      </c>
      <c r="B13" s="8">
        <f>IF(Applications!A13="","",Applications!C13)</f>
        <v/>
      </c>
      <c r="C13" s="8">
        <f>IF(Applications!A13="","",Scoring!G24)</f>
        <v/>
      </c>
      <c r="D13" s="8">
        <f>IF(Applications!A13="","",Scoring!G25)</f>
        <v/>
      </c>
      <c r="E13" s="8">
        <f>IF(Applications!A13="","",IF(COUNT(C13:D13)=0,"",SUM(C13:D13)))</f>
        <v/>
      </c>
      <c r="F13" s="8">
        <f>IF(Applications!A13="","",SUM(Scoring!F24,Scoring!F25))</f>
        <v/>
      </c>
      <c r="G13" s="8">
        <f>IF(OR(Applications!A13="",E13=""),"",RANK(E13,$E$2:$E$201))</f>
        <v/>
      </c>
    </row>
    <row r="14">
      <c r="A14" s="8">
        <f>IF(Applications!A14="","",Applications!A14)</f>
        <v/>
      </c>
      <c r="B14" s="8">
        <f>IF(Applications!A14="","",Applications!C14)</f>
        <v/>
      </c>
      <c r="C14" s="8">
        <f>IF(Applications!A14="","",Scoring!G26)</f>
        <v/>
      </c>
      <c r="D14" s="8">
        <f>IF(Applications!A14="","",Scoring!G27)</f>
        <v/>
      </c>
      <c r="E14" s="8">
        <f>IF(Applications!A14="","",IF(COUNT(C14:D14)=0,"",SUM(C14:D14)))</f>
        <v/>
      </c>
      <c r="F14" s="8">
        <f>IF(Applications!A14="","",SUM(Scoring!F26,Scoring!F27))</f>
        <v/>
      </c>
      <c r="G14" s="8">
        <f>IF(OR(Applications!A14="",E14=""),"",RANK(E14,$E$2:$E$201))</f>
        <v/>
      </c>
    </row>
    <row r="15">
      <c r="A15" s="8">
        <f>IF(Applications!A15="","",Applications!A15)</f>
        <v/>
      </c>
      <c r="B15" s="8">
        <f>IF(Applications!A15="","",Applications!C15)</f>
        <v/>
      </c>
      <c r="C15" s="8">
        <f>IF(Applications!A15="","",Scoring!G28)</f>
        <v/>
      </c>
      <c r="D15" s="8">
        <f>IF(Applications!A15="","",Scoring!G29)</f>
        <v/>
      </c>
      <c r="E15" s="8">
        <f>IF(Applications!A15="","",IF(COUNT(C15:D15)=0,"",SUM(C15:D15)))</f>
        <v/>
      </c>
      <c r="F15" s="8">
        <f>IF(Applications!A15="","",SUM(Scoring!F28,Scoring!F29))</f>
        <v/>
      </c>
      <c r="G15" s="8">
        <f>IF(OR(Applications!A15="",E15=""),"",RANK(E15,$E$2:$E$201))</f>
        <v/>
      </c>
    </row>
    <row r="16">
      <c r="A16" s="8">
        <f>IF(Applications!A16="","",Applications!A16)</f>
        <v/>
      </c>
      <c r="B16" s="8">
        <f>IF(Applications!A16="","",Applications!C16)</f>
        <v/>
      </c>
      <c r="C16" s="8">
        <f>IF(Applications!A16="","",Scoring!G30)</f>
        <v/>
      </c>
      <c r="D16" s="8">
        <f>IF(Applications!A16="","",Scoring!G31)</f>
        <v/>
      </c>
      <c r="E16" s="8">
        <f>IF(Applications!A16="","",IF(COUNT(C16:D16)=0,"",SUM(C16:D16)))</f>
        <v/>
      </c>
      <c r="F16" s="8">
        <f>IF(Applications!A16="","",SUM(Scoring!F30,Scoring!F31))</f>
        <v/>
      </c>
      <c r="G16" s="8">
        <f>IF(OR(Applications!A16="",E16=""),"",RANK(E16,$E$2:$E$201))</f>
        <v/>
      </c>
    </row>
    <row r="17">
      <c r="A17" s="8">
        <f>IF(Applications!A17="","",Applications!A17)</f>
        <v/>
      </c>
      <c r="B17" s="8">
        <f>IF(Applications!A17="","",Applications!C17)</f>
        <v/>
      </c>
      <c r="C17" s="8">
        <f>IF(Applications!A17="","",Scoring!G32)</f>
        <v/>
      </c>
      <c r="D17" s="8">
        <f>IF(Applications!A17="","",Scoring!G33)</f>
        <v/>
      </c>
      <c r="E17" s="8">
        <f>IF(Applications!A17="","",IF(COUNT(C17:D17)=0,"",SUM(C17:D17)))</f>
        <v/>
      </c>
      <c r="F17" s="8">
        <f>IF(Applications!A17="","",SUM(Scoring!F32,Scoring!F33))</f>
        <v/>
      </c>
      <c r="G17" s="8">
        <f>IF(OR(Applications!A17="",E17=""),"",RANK(E17,$E$2:$E$201))</f>
        <v/>
      </c>
    </row>
    <row r="18">
      <c r="A18" s="8">
        <f>IF(Applications!A18="","",Applications!A18)</f>
        <v/>
      </c>
      <c r="B18" s="8">
        <f>IF(Applications!A18="","",Applications!C18)</f>
        <v/>
      </c>
      <c r="C18" s="8">
        <f>IF(Applications!A18="","",Scoring!G34)</f>
        <v/>
      </c>
      <c r="D18" s="8">
        <f>IF(Applications!A18="","",Scoring!G35)</f>
        <v/>
      </c>
      <c r="E18" s="8">
        <f>IF(Applications!A18="","",IF(COUNT(C18:D18)=0,"",SUM(C18:D18)))</f>
        <v/>
      </c>
      <c r="F18" s="8">
        <f>IF(Applications!A18="","",SUM(Scoring!F34,Scoring!F35))</f>
        <v/>
      </c>
      <c r="G18" s="8">
        <f>IF(OR(Applications!A18="",E18=""),"",RANK(E18,$E$2:$E$201))</f>
        <v/>
      </c>
    </row>
    <row r="19">
      <c r="A19" s="8">
        <f>IF(Applications!A19="","",Applications!A19)</f>
        <v/>
      </c>
      <c r="B19" s="8">
        <f>IF(Applications!A19="","",Applications!C19)</f>
        <v/>
      </c>
      <c r="C19" s="8">
        <f>IF(Applications!A19="","",Scoring!G36)</f>
        <v/>
      </c>
      <c r="D19" s="8">
        <f>IF(Applications!A19="","",Scoring!G37)</f>
        <v/>
      </c>
      <c r="E19" s="8">
        <f>IF(Applications!A19="","",IF(COUNT(C19:D19)=0,"",SUM(C19:D19)))</f>
        <v/>
      </c>
      <c r="F19" s="8">
        <f>IF(Applications!A19="","",SUM(Scoring!F36,Scoring!F37))</f>
        <v/>
      </c>
      <c r="G19" s="8">
        <f>IF(OR(Applications!A19="",E19=""),"",RANK(E19,$E$2:$E$201))</f>
        <v/>
      </c>
    </row>
    <row r="20">
      <c r="A20" s="8">
        <f>IF(Applications!A20="","",Applications!A20)</f>
        <v/>
      </c>
      <c r="B20" s="8">
        <f>IF(Applications!A20="","",Applications!C20)</f>
        <v/>
      </c>
      <c r="C20" s="8">
        <f>IF(Applications!A20="","",Scoring!G38)</f>
        <v/>
      </c>
      <c r="D20" s="8">
        <f>IF(Applications!A20="","",Scoring!G39)</f>
        <v/>
      </c>
      <c r="E20" s="8">
        <f>IF(Applications!A20="","",IF(COUNT(C20:D20)=0,"",SUM(C20:D20)))</f>
        <v/>
      </c>
      <c r="F20" s="8">
        <f>IF(Applications!A20="","",SUM(Scoring!F38,Scoring!F39))</f>
        <v/>
      </c>
      <c r="G20" s="8">
        <f>IF(OR(Applications!A20="",E20=""),"",RANK(E20,$E$2:$E$201))</f>
        <v/>
      </c>
    </row>
    <row r="21">
      <c r="A21" s="8">
        <f>IF(Applications!A21="","",Applications!A21)</f>
        <v/>
      </c>
      <c r="B21" s="8">
        <f>IF(Applications!A21="","",Applications!C21)</f>
        <v/>
      </c>
      <c r="C21" s="8">
        <f>IF(Applications!A21="","",Scoring!G40)</f>
        <v/>
      </c>
      <c r="D21" s="8">
        <f>IF(Applications!A21="","",Scoring!G41)</f>
        <v/>
      </c>
      <c r="E21" s="8">
        <f>IF(Applications!A21="","",IF(COUNT(C21:D21)=0,"",SUM(C21:D21)))</f>
        <v/>
      </c>
      <c r="F21" s="8">
        <f>IF(Applications!A21="","",SUM(Scoring!F40,Scoring!F41))</f>
        <v/>
      </c>
      <c r="G21" s="8">
        <f>IF(OR(Applications!A21="",E21=""),"",RANK(E21,$E$2:$E$201))</f>
        <v/>
      </c>
    </row>
    <row r="22">
      <c r="A22" s="8">
        <f>IF(Applications!A22="","",Applications!A22)</f>
        <v/>
      </c>
      <c r="B22" s="8">
        <f>IF(Applications!A22="","",Applications!C22)</f>
        <v/>
      </c>
      <c r="C22" s="8">
        <f>IF(Applications!A22="","",Scoring!G42)</f>
        <v/>
      </c>
      <c r="D22" s="8">
        <f>IF(Applications!A22="","",Scoring!G43)</f>
        <v/>
      </c>
      <c r="E22" s="8">
        <f>IF(Applications!A22="","",IF(COUNT(C22:D22)=0,"",SUM(C22:D22)))</f>
        <v/>
      </c>
      <c r="F22" s="8">
        <f>IF(Applications!A22="","",SUM(Scoring!F42,Scoring!F43))</f>
        <v/>
      </c>
      <c r="G22" s="8">
        <f>IF(OR(Applications!A22="",E22=""),"",RANK(E22,$E$2:$E$201))</f>
        <v/>
      </c>
    </row>
    <row r="23">
      <c r="A23" s="8">
        <f>IF(Applications!A23="","",Applications!A23)</f>
        <v/>
      </c>
      <c r="B23" s="8">
        <f>IF(Applications!A23="","",Applications!C23)</f>
        <v/>
      </c>
      <c r="C23" s="8">
        <f>IF(Applications!A23="","",Scoring!G44)</f>
        <v/>
      </c>
      <c r="D23" s="8">
        <f>IF(Applications!A23="","",Scoring!G45)</f>
        <v/>
      </c>
      <c r="E23" s="8">
        <f>IF(Applications!A23="","",IF(COUNT(C23:D23)=0,"",SUM(C23:D23)))</f>
        <v/>
      </c>
      <c r="F23" s="8">
        <f>IF(Applications!A23="","",SUM(Scoring!F44,Scoring!F45))</f>
        <v/>
      </c>
      <c r="G23" s="8">
        <f>IF(OR(Applications!A23="",E23=""),"",RANK(E23,$E$2:$E$201))</f>
        <v/>
      </c>
    </row>
    <row r="24">
      <c r="A24" s="8">
        <f>IF(Applications!A24="","",Applications!A24)</f>
        <v/>
      </c>
      <c r="B24" s="8">
        <f>IF(Applications!A24="","",Applications!C24)</f>
        <v/>
      </c>
      <c r="C24" s="8">
        <f>IF(Applications!A24="","",Scoring!G46)</f>
        <v/>
      </c>
      <c r="D24" s="8">
        <f>IF(Applications!A24="","",Scoring!G47)</f>
        <v/>
      </c>
      <c r="E24" s="8">
        <f>IF(Applications!A24="","",IF(COUNT(C24:D24)=0,"",SUM(C24:D24)))</f>
        <v/>
      </c>
      <c r="F24" s="8">
        <f>IF(Applications!A24="","",SUM(Scoring!F46,Scoring!F47))</f>
        <v/>
      </c>
      <c r="G24" s="8">
        <f>IF(OR(Applications!A24="",E24=""),"",RANK(E24,$E$2:$E$201))</f>
        <v/>
      </c>
    </row>
    <row r="25">
      <c r="A25" s="8">
        <f>IF(Applications!A25="","",Applications!A25)</f>
        <v/>
      </c>
      <c r="B25" s="8">
        <f>IF(Applications!A25="","",Applications!C25)</f>
        <v/>
      </c>
      <c r="C25" s="8">
        <f>IF(Applications!A25="","",Scoring!G48)</f>
        <v/>
      </c>
      <c r="D25" s="8">
        <f>IF(Applications!A25="","",Scoring!G49)</f>
        <v/>
      </c>
      <c r="E25" s="8">
        <f>IF(Applications!A25="","",IF(COUNT(C25:D25)=0,"",SUM(C25:D25)))</f>
        <v/>
      </c>
      <c r="F25" s="8">
        <f>IF(Applications!A25="","",SUM(Scoring!F48,Scoring!F49))</f>
        <v/>
      </c>
      <c r="G25" s="8">
        <f>IF(OR(Applications!A25="",E25=""),"",RANK(E25,$E$2:$E$201))</f>
        <v/>
      </c>
    </row>
    <row r="26">
      <c r="A26" s="8">
        <f>IF(Applications!A26="","",Applications!A26)</f>
        <v/>
      </c>
      <c r="B26" s="8">
        <f>IF(Applications!A26="","",Applications!C26)</f>
        <v/>
      </c>
      <c r="C26" s="8">
        <f>IF(Applications!A26="","",Scoring!G50)</f>
        <v/>
      </c>
      <c r="D26" s="8">
        <f>IF(Applications!A26="","",Scoring!G51)</f>
        <v/>
      </c>
      <c r="E26" s="8">
        <f>IF(Applications!A26="","",IF(COUNT(C26:D26)=0,"",SUM(C26:D26)))</f>
        <v/>
      </c>
      <c r="F26" s="8">
        <f>IF(Applications!A26="","",SUM(Scoring!F50,Scoring!F51))</f>
        <v/>
      </c>
      <c r="G26" s="8">
        <f>IF(OR(Applications!A26="",E26=""),"",RANK(E26,$E$2:$E$201))</f>
        <v/>
      </c>
    </row>
    <row r="27">
      <c r="A27" s="8">
        <f>IF(Applications!A27="","",Applications!A27)</f>
        <v/>
      </c>
      <c r="B27" s="8">
        <f>IF(Applications!A27="","",Applications!C27)</f>
        <v/>
      </c>
      <c r="C27" s="8">
        <f>IF(Applications!A27="","",Scoring!G52)</f>
        <v/>
      </c>
      <c r="D27" s="8">
        <f>IF(Applications!A27="","",Scoring!G53)</f>
        <v/>
      </c>
      <c r="E27" s="8">
        <f>IF(Applications!A27="","",IF(COUNT(C27:D27)=0,"",SUM(C27:D27)))</f>
        <v/>
      </c>
      <c r="F27" s="8">
        <f>IF(Applications!A27="","",SUM(Scoring!F52,Scoring!F53))</f>
        <v/>
      </c>
      <c r="G27" s="8">
        <f>IF(OR(Applications!A27="",E27=""),"",RANK(E27,$E$2:$E$201))</f>
        <v/>
      </c>
    </row>
    <row r="28">
      <c r="A28" s="8">
        <f>IF(Applications!A28="","",Applications!A28)</f>
        <v/>
      </c>
      <c r="B28" s="8">
        <f>IF(Applications!A28="","",Applications!C28)</f>
        <v/>
      </c>
      <c r="C28" s="8">
        <f>IF(Applications!A28="","",Scoring!G54)</f>
        <v/>
      </c>
      <c r="D28" s="8">
        <f>IF(Applications!A28="","",Scoring!G55)</f>
        <v/>
      </c>
      <c r="E28" s="8">
        <f>IF(Applications!A28="","",IF(COUNT(C28:D28)=0,"",SUM(C28:D28)))</f>
        <v/>
      </c>
      <c r="F28" s="8">
        <f>IF(Applications!A28="","",SUM(Scoring!F54,Scoring!F55))</f>
        <v/>
      </c>
      <c r="G28" s="8">
        <f>IF(OR(Applications!A28="",E28=""),"",RANK(E28,$E$2:$E$201))</f>
        <v/>
      </c>
    </row>
    <row r="29">
      <c r="A29" s="8">
        <f>IF(Applications!A29="","",Applications!A29)</f>
        <v/>
      </c>
      <c r="B29" s="8">
        <f>IF(Applications!A29="","",Applications!C29)</f>
        <v/>
      </c>
      <c r="C29" s="8">
        <f>IF(Applications!A29="","",Scoring!G56)</f>
        <v/>
      </c>
      <c r="D29" s="8">
        <f>IF(Applications!A29="","",Scoring!G57)</f>
        <v/>
      </c>
      <c r="E29" s="8">
        <f>IF(Applications!A29="","",IF(COUNT(C29:D29)=0,"",SUM(C29:D29)))</f>
        <v/>
      </c>
      <c r="F29" s="8">
        <f>IF(Applications!A29="","",SUM(Scoring!F56,Scoring!F57))</f>
        <v/>
      </c>
      <c r="G29" s="8">
        <f>IF(OR(Applications!A29="",E29=""),"",RANK(E29,$E$2:$E$201))</f>
        <v/>
      </c>
    </row>
    <row r="30">
      <c r="A30" s="8">
        <f>IF(Applications!A30="","",Applications!A30)</f>
        <v/>
      </c>
      <c r="B30" s="8">
        <f>IF(Applications!A30="","",Applications!C30)</f>
        <v/>
      </c>
      <c r="C30" s="8">
        <f>IF(Applications!A30="","",Scoring!G58)</f>
        <v/>
      </c>
      <c r="D30" s="8">
        <f>IF(Applications!A30="","",Scoring!G59)</f>
        <v/>
      </c>
      <c r="E30" s="8">
        <f>IF(Applications!A30="","",IF(COUNT(C30:D30)=0,"",SUM(C30:D30)))</f>
        <v/>
      </c>
      <c r="F30" s="8">
        <f>IF(Applications!A30="","",SUM(Scoring!F58,Scoring!F59))</f>
        <v/>
      </c>
      <c r="G30" s="8">
        <f>IF(OR(Applications!A30="",E30=""),"",RANK(E30,$E$2:$E$201))</f>
        <v/>
      </c>
    </row>
    <row r="31">
      <c r="A31" s="8">
        <f>IF(Applications!A31="","",Applications!A31)</f>
        <v/>
      </c>
      <c r="B31" s="8">
        <f>IF(Applications!A31="","",Applications!C31)</f>
        <v/>
      </c>
      <c r="C31" s="8">
        <f>IF(Applications!A31="","",Scoring!G60)</f>
        <v/>
      </c>
      <c r="D31" s="8">
        <f>IF(Applications!A31="","",Scoring!G61)</f>
        <v/>
      </c>
      <c r="E31" s="8">
        <f>IF(Applications!A31="","",IF(COUNT(C31:D31)=0,"",SUM(C31:D31)))</f>
        <v/>
      </c>
      <c r="F31" s="8">
        <f>IF(Applications!A31="","",SUM(Scoring!F60,Scoring!F61))</f>
        <v/>
      </c>
      <c r="G31" s="8">
        <f>IF(OR(Applications!A31="",E31=""),"",RANK(E31,$E$2:$E$201))</f>
        <v/>
      </c>
    </row>
    <row r="32">
      <c r="A32" s="8">
        <f>IF(Applications!A32="","",Applications!A32)</f>
        <v/>
      </c>
      <c r="B32" s="8">
        <f>IF(Applications!A32="","",Applications!C32)</f>
        <v/>
      </c>
      <c r="C32" s="8">
        <f>IF(Applications!A32="","",Scoring!G62)</f>
        <v/>
      </c>
      <c r="D32" s="8">
        <f>IF(Applications!A32="","",Scoring!G63)</f>
        <v/>
      </c>
      <c r="E32" s="8">
        <f>IF(Applications!A32="","",IF(COUNT(C32:D32)=0,"",SUM(C32:D32)))</f>
        <v/>
      </c>
      <c r="F32" s="8">
        <f>IF(Applications!A32="","",SUM(Scoring!F62,Scoring!F63))</f>
        <v/>
      </c>
      <c r="G32" s="8">
        <f>IF(OR(Applications!A32="",E32=""),"",RANK(E32,$E$2:$E$201))</f>
        <v/>
      </c>
    </row>
    <row r="33">
      <c r="A33" s="8">
        <f>IF(Applications!A33="","",Applications!A33)</f>
        <v/>
      </c>
      <c r="B33" s="8">
        <f>IF(Applications!A33="","",Applications!C33)</f>
        <v/>
      </c>
      <c r="C33" s="8">
        <f>IF(Applications!A33="","",Scoring!G64)</f>
        <v/>
      </c>
      <c r="D33" s="8">
        <f>IF(Applications!A33="","",Scoring!G65)</f>
        <v/>
      </c>
      <c r="E33" s="8">
        <f>IF(Applications!A33="","",IF(COUNT(C33:D33)=0,"",SUM(C33:D33)))</f>
        <v/>
      </c>
      <c r="F33" s="8">
        <f>IF(Applications!A33="","",SUM(Scoring!F64,Scoring!F65))</f>
        <v/>
      </c>
      <c r="G33" s="8">
        <f>IF(OR(Applications!A33="",E33=""),"",RANK(E33,$E$2:$E$201))</f>
        <v/>
      </c>
    </row>
    <row r="34">
      <c r="A34" s="8">
        <f>IF(Applications!A34="","",Applications!A34)</f>
        <v/>
      </c>
      <c r="B34" s="8">
        <f>IF(Applications!A34="","",Applications!C34)</f>
        <v/>
      </c>
      <c r="C34" s="8">
        <f>IF(Applications!A34="","",Scoring!G66)</f>
        <v/>
      </c>
      <c r="D34" s="8">
        <f>IF(Applications!A34="","",Scoring!G67)</f>
        <v/>
      </c>
      <c r="E34" s="8">
        <f>IF(Applications!A34="","",IF(COUNT(C34:D34)=0,"",SUM(C34:D34)))</f>
        <v/>
      </c>
      <c r="F34" s="8">
        <f>IF(Applications!A34="","",SUM(Scoring!F66,Scoring!F67))</f>
        <v/>
      </c>
      <c r="G34" s="8">
        <f>IF(OR(Applications!A34="",E34=""),"",RANK(E34,$E$2:$E$201))</f>
        <v/>
      </c>
    </row>
    <row r="35">
      <c r="A35" s="8">
        <f>IF(Applications!A35="","",Applications!A35)</f>
        <v/>
      </c>
      <c r="B35" s="8">
        <f>IF(Applications!A35="","",Applications!C35)</f>
        <v/>
      </c>
      <c r="C35" s="8">
        <f>IF(Applications!A35="","",Scoring!G68)</f>
        <v/>
      </c>
      <c r="D35" s="8">
        <f>IF(Applications!A35="","",Scoring!G69)</f>
        <v/>
      </c>
      <c r="E35" s="8">
        <f>IF(Applications!A35="","",IF(COUNT(C35:D35)=0,"",SUM(C35:D35)))</f>
        <v/>
      </c>
      <c r="F35" s="8">
        <f>IF(Applications!A35="","",SUM(Scoring!F68,Scoring!F69))</f>
        <v/>
      </c>
      <c r="G35" s="8">
        <f>IF(OR(Applications!A35="",E35=""),"",RANK(E35,$E$2:$E$201))</f>
        <v/>
      </c>
    </row>
    <row r="36">
      <c r="A36" s="8">
        <f>IF(Applications!A36="","",Applications!A36)</f>
        <v/>
      </c>
      <c r="B36" s="8">
        <f>IF(Applications!A36="","",Applications!C36)</f>
        <v/>
      </c>
      <c r="C36" s="8">
        <f>IF(Applications!A36="","",Scoring!G70)</f>
        <v/>
      </c>
      <c r="D36" s="8">
        <f>IF(Applications!A36="","",Scoring!G71)</f>
        <v/>
      </c>
      <c r="E36" s="8">
        <f>IF(Applications!A36="","",IF(COUNT(C36:D36)=0,"",SUM(C36:D36)))</f>
        <v/>
      </c>
      <c r="F36" s="8">
        <f>IF(Applications!A36="","",SUM(Scoring!F70,Scoring!F71))</f>
        <v/>
      </c>
      <c r="G36" s="8">
        <f>IF(OR(Applications!A36="",E36=""),"",RANK(E36,$E$2:$E$201))</f>
        <v/>
      </c>
    </row>
    <row r="37">
      <c r="A37" s="8">
        <f>IF(Applications!A37="","",Applications!A37)</f>
        <v/>
      </c>
      <c r="B37" s="8">
        <f>IF(Applications!A37="","",Applications!C37)</f>
        <v/>
      </c>
      <c r="C37" s="8">
        <f>IF(Applications!A37="","",Scoring!G72)</f>
        <v/>
      </c>
      <c r="D37" s="8">
        <f>IF(Applications!A37="","",Scoring!G73)</f>
        <v/>
      </c>
      <c r="E37" s="8">
        <f>IF(Applications!A37="","",IF(COUNT(C37:D37)=0,"",SUM(C37:D37)))</f>
        <v/>
      </c>
      <c r="F37" s="8">
        <f>IF(Applications!A37="","",SUM(Scoring!F72,Scoring!F73))</f>
        <v/>
      </c>
      <c r="G37" s="8">
        <f>IF(OR(Applications!A37="",E37=""),"",RANK(E37,$E$2:$E$201))</f>
        <v/>
      </c>
    </row>
    <row r="38">
      <c r="A38" s="8">
        <f>IF(Applications!A38="","",Applications!A38)</f>
        <v/>
      </c>
      <c r="B38" s="8">
        <f>IF(Applications!A38="","",Applications!C38)</f>
        <v/>
      </c>
      <c r="C38" s="8">
        <f>IF(Applications!A38="","",Scoring!G74)</f>
        <v/>
      </c>
      <c r="D38" s="8">
        <f>IF(Applications!A38="","",Scoring!G75)</f>
        <v/>
      </c>
      <c r="E38" s="8">
        <f>IF(Applications!A38="","",IF(COUNT(C38:D38)=0,"",SUM(C38:D38)))</f>
        <v/>
      </c>
      <c r="F38" s="8">
        <f>IF(Applications!A38="","",SUM(Scoring!F74,Scoring!F75))</f>
        <v/>
      </c>
      <c r="G38" s="8">
        <f>IF(OR(Applications!A38="",E38=""),"",RANK(E38,$E$2:$E$201))</f>
        <v/>
      </c>
    </row>
    <row r="39">
      <c r="A39" s="8">
        <f>IF(Applications!A39="","",Applications!A39)</f>
        <v/>
      </c>
      <c r="B39" s="8">
        <f>IF(Applications!A39="","",Applications!C39)</f>
        <v/>
      </c>
      <c r="C39" s="8">
        <f>IF(Applications!A39="","",Scoring!G76)</f>
        <v/>
      </c>
      <c r="D39" s="8">
        <f>IF(Applications!A39="","",Scoring!G77)</f>
        <v/>
      </c>
      <c r="E39" s="8">
        <f>IF(Applications!A39="","",IF(COUNT(C39:D39)=0,"",SUM(C39:D39)))</f>
        <v/>
      </c>
      <c r="F39" s="8">
        <f>IF(Applications!A39="","",SUM(Scoring!F76,Scoring!F77))</f>
        <v/>
      </c>
      <c r="G39" s="8">
        <f>IF(OR(Applications!A39="",E39=""),"",RANK(E39,$E$2:$E$201))</f>
        <v/>
      </c>
    </row>
    <row r="40">
      <c r="A40" s="8">
        <f>IF(Applications!A40="","",Applications!A40)</f>
        <v/>
      </c>
      <c r="B40" s="8">
        <f>IF(Applications!A40="","",Applications!C40)</f>
        <v/>
      </c>
      <c r="C40" s="8">
        <f>IF(Applications!A40="","",Scoring!G78)</f>
        <v/>
      </c>
      <c r="D40" s="8">
        <f>IF(Applications!A40="","",Scoring!G79)</f>
        <v/>
      </c>
      <c r="E40" s="8">
        <f>IF(Applications!A40="","",IF(COUNT(C40:D40)=0,"",SUM(C40:D40)))</f>
        <v/>
      </c>
      <c r="F40" s="8">
        <f>IF(Applications!A40="","",SUM(Scoring!F78,Scoring!F79))</f>
        <v/>
      </c>
      <c r="G40" s="8">
        <f>IF(OR(Applications!A40="",E40=""),"",RANK(E40,$E$2:$E$201))</f>
        <v/>
      </c>
    </row>
    <row r="41">
      <c r="A41" s="8">
        <f>IF(Applications!A41="","",Applications!A41)</f>
        <v/>
      </c>
      <c r="B41" s="8">
        <f>IF(Applications!A41="","",Applications!C41)</f>
        <v/>
      </c>
      <c r="C41" s="8">
        <f>IF(Applications!A41="","",Scoring!G80)</f>
        <v/>
      </c>
      <c r="D41" s="8">
        <f>IF(Applications!A41="","",Scoring!G81)</f>
        <v/>
      </c>
      <c r="E41" s="8">
        <f>IF(Applications!A41="","",IF(COUNT(C41:D41)=0,"",SUM(C41:D41)))</f>
        <v/>
      </c>
      <c r="F41" s="8">
        <f>IF(Applications!A41="","",SUM(Scoring!F80,Scoring!F81))</f>
        <v/>
      </c>
      <c r="G41" s="8">
        <f>IF(OR(Applications!A41="",E41=""),"",RANK(E41,$E$2:$E$201))</f>
        <v/>
      </c>
    </row>
    <row r="42">
      <c r="A42" s="8">
        <f>IF(Applications!A42="","",Applications!A42)</f>
        <v/>
      </c>
      <c r="B42" s="8">
        <f>IF(Applications!A42="","",Applications!C42)</f>
        <v/>
      </c>
      <c r="C42" s="8">
        <f>IF(Applications!A42="","",Scoring!G82)</f>
        <v/>
      </c>
      <c r="D42" s="8">
        <f>IF(Applications!A42="","",Scoring!G83)</f>
        <v/>
      </c>
      <c r="E42" s="8">
        <f>IF(Applications!A42="","",IF(COUNT(C42:D42)=0,"",SUM(C42:D42)))</f>
        <v/>
      </c>
      <c r="F42" s="8">
        <f>IF(Applications!A42="","",SUM(Scoring!F82,Scoring!F83))</f>
        <v/>
      </c>
      <c r="G42" s="8">
        <f>IF(OR(Applications!A42="",E42=""),"",RANK(E42,$E$2:$E$201))</f>
        <v/>
      </c>
    </row>
    <row r="43">
      <c r="A43" s="8">
        <f>IF(Applications!A43="","",Applications!A43)</f>
        <v/>
      </c>
      <c r="B43" s="8">
        <f>IF(Applications!A43="","",Applications!C43)</f>
        <v/>
      </c>
      <c r="C43" s="8">
        <f>IF(Applications!A43="","",Scoring!G84)</f>
        <v/>
      </c>
      <c r="D43" s="8">
        <f>IF(Applications!A43="","",Scoring!G85)</f>
        <v/>
      </c>
      <c r="E43" s="8">
        <f>IF(Applications!A43="","",IF(COUNT(C43:D43)=0,"",SUM(C43:D43)))</f>
        <v/>
      </c>
      <c r="F43" s="8">
        <f>IF(Applications!A43="","",SUM(Scoring!F84,Scoring!F85))</f>
        <v/>
      </c>
      <c r="G43" s="8">
        <f>IF(OR(Applications!A43="",E43=""),"",RANK(E43,$E$2:$E$201))</f>
        <v/>
      </c>
    </row>
    <row r="44">
      <c r="A44" s="8">
        <f>IF(Applications!A44="","",Applications!A44)</f>
        <v/>
      </c>
      <c r="B44" s="8">
        <f>IF(Applications!A44="","",Applications!C44)</f>
        <v/>
      </c>
      <c r="C44" s="8">
        <f>IF(Applications!A44="","",Scoring!G86)</f>
        <v/>
      </c>
      <c r="D44" s="8">
        <f>IF(Applications!A44="","",Scoring!G87)</f>
        <v/>
      </c>
      <c r="E44" s="8">
        <f>IF(Applications!A44="","",IF(COUNT(C44:D44)=0,"",SUM(C44:D44)))</f>
        <v/>
      </c>
      <c r="F44" s="8">
        <f>IF(Applications!A44="","",SUM(Scoring!F86,Scoring!F87))</f>
        <v/>
      </c>
      <c r="G44" s="8">
        <f>IF(OR(Applications!A44="",E44=""),"",RANK(E44,$E$2:$E$201))</f>
        <v/>
      </c>
    </row>
    <row r="45">
      <c r="A45" s="8">
        <f>IF(Applications!A45="","",Applications!A45)</f>
        <v/>
      </c>
      <c r="B45" s="8">
        <f>IF(Applications!A45="","",Applications!C45)</f>
        <v/>
      </c>
      <c r="C45" s="8">
        <f>IF(Applications!A45="","",Scoring!G88)</f>
        <v/>
      </c>
      <c r="D45" s="8">
        <f>IF(Applications!A45="","",Scoring!G89)</f>
        <v/>
      </c>
      <c r="E45" s="8">
        <f>IF(Applications!A45="","",IF(COUNT(C45:D45)=0,"",SUM(C45:D45)))</f>
        <v/>
      </c>
      <c r="F45" s="8">
        <f>IF(Applications!A45="","",SUM(Scoring!F88,Scoring!F89))</f>
        <v/>
      </c>
      <c r="G45" s="8">
        <f>IF(OR(Applications!A45="",E45=""),"",RANK(E45,$E$2:$E$201))</f>
        <v/>
      </c>
    </row>
    <row r="46">
      <c r="A46" s="8">
        <f>IF(Applications!A46="","",Applications!A46)</f>
        <v/>
      </c>
      <c r="B46" s="8">
        <f>IF(Applications!A46="","",Applications!C46)</f>
        <v/>
      </c>
      <c r="C46" s="8">
        <f>IF(Applications!A46="","",Scoring!G90)</f>
        <v/>
      </c>
      <c r="D46" s="8">
        <f>IF(Applications!A46="","",Scoring!G91)</f>
        <v/>
      </c>
      <c r="E46" s="8">
        <f>IF(Applications!A46="","",IF(COUNT(C46:D46)=0,"",SUM(C46:D46)))</f>
        <v/>
      </c>
      <c r="F46" s="8">
        <f>IF(Applications!A46="","",SUM(Scoring!F90,Scoring!F91))</f>
        <v/>
      </c>
      <c r="G46" s="8">
        <f>IF(OR(Applications!A46="",E46=""),"",RANK(E46,$E$2:$E$201))</f>
        <v/>
      </c>
    </row>
    <row r="47">
      <c r="A47" s="8">
        <f>IF(Applications!A47="","",Applications!A47)</f>
        <v/>
      </c>
      <c r="B47" s="8">
        <f>IF(Applications!A47="","",Applications!C47)</f>
        <v/>
      </c>
      <c r="C47" s="8">
        <f>IF(Applications!A47="","",Scoring!G92)</f>
        <v/>
      </c>
      <c r="D47" s="8">
        <f>IF(Applications!A47="","",Scoring!G93)</f>
        <v/>
      </c>
      <c r="E47" s="8">
        <f>IF(Applications!A47="","",IF(COUNT(C47:D47)=0,"",SUM(C47:D47)))</f>
        <v/>
      </c>
      <c r="F47" s="8">
        <f>IF(Applications!A47="","",SUM(Scoring!F92,Scoring!F93))</f>
        <v/>
      </c>
      <c r="G47" s="8">
        <f>IF(OR(Applications!A47="",E47=""),"",RANK(E47,$E$2:$E$201))</f>
        <v/>
      </c>
    </row>
    <row r="48">
      <c r="A48" s="8">
        <f>IF(Applications!A48="","",Applications!A48)</f>
        <v/>
      </c>
      <c r="B48" s="8">
        <f>IF(Applications!A48="","",Applications!C48)</f>
        <v/>
      </c>
      <c r="C48" s="8">
        <f>IF(Applications!A48="","",Scoring!G94)</f>
        <v/>
      </c>
      <c r="D48" s="8">
        <f>IF(Applications!A48="","",Scoring!G95)</f>
        <v/>
      </c>
      <c r="E48" s="8">
        <f>IF(Applications!A48="","",IF(COUNT(C48:D48)=0,"",SUM(C48:D48)))</f>
        <v/>
      </c>
      <c r="F48" s="8">
        <f>IF(Applications!A48="","",SUM(Scoring!F94,Scoring!F95))</f>
        <v/>
      </c>
      <c r="G48" s="8">
        <f>IF(OR(Applications!A48="",E48=""),"",RANK(E48,$E$2:$E$201))</f>
        <v/>
      </c>
    </row>
    <row r="49">
      <c r="A49" s="8">
        <f>IF(Applications!A49="","",Applications!A49)</f>
        <v/>
      </c>
      <c r="B49" s="8">
        <f>IF(Applications!A49="","",Applications!C49)</f>
        <v/>
      </c>
      <c r="C49" s="8">
        <f>IF(Applications!A49="","",Scoring!G96)</f>
        <v/>
      </c>
      <c r="D49" s="8">
        <f>IF(Applications!A49="","",Scoring!G97)</f>
        <v/>
      </c>
      <c r="E49" s="8">
        <f>IF(Applications!A49="","",IF(COUNT(C49:D49)=0,"",SUM(C49:D49)))</f>
        <v/>
      </c>
      <c r="F49" s="8">
        <f>IF(Applications!A49="","",SUM(Scoring!F96,Scoring!F97))</f>
        <v/>
      </c>
      <c r="G49" s="8">
        <f>IF(OR(Applications!A49="",E49=""),"",RANK(E49,$E$2:$E$201))</f>
        <v/>
      </c>
    </row>
    <row r="50">
      <c r="A50" s="8">
        <f>IF(Applications!A50="","",Applications!A50)</f>
        <v/>
      </c>
      <c r="B50" s="8">
        <f>IF(Applications!A50="","",Applications!C50)</f>
        <v/>
      </c>
      <c r="C50" s="8">
        <f>IF(Applications!A50="","",Scoring!G98)</f>
        <v/>
      </c>
      <c r="D50" s="8">
        <f>IF(Applications!A50="","",Scoring!G99)</f>
        <v/>
      </c>
      <c r="E50" s="8">
        <f>IF(Applications!A50="","",IF(COUNT(C50:D50)=0,"",SUM(C50:D50)))</f>
        <v/>
      </c>
      <c r="F50" s="8">
        <f>IF(Applications!A50="","",SUM(Scoring!F98,Scoring!F99))</f>
        <v/>
      </c>
      <c r="G50" s="8">
        <f>IF(OR(Applications!A50="",E50=""),"",RANK(E50,$E$2:$E$201))</f>
        <v/>
      </c>
    </row>
    <row r="51">
      <c r="A51" s="8">
        <f>IF(Applications!A51="","",Applications!A51)</f>
        <v/>
      </c>
      <c r="B51" s="8">
        <f>IF(Applications!A51="","",Applications!C51)</f>
        <v/>
      </c>
      <c r="C51" s="8">
        <f>IF(Applications!A51="","",Scoring!G100)</f>
        <v/>
      </c>
      <c r="D51" s="8">
        <f>IF(Applications!A51="","",Scoring!G101)</f>
        <v/>
      </c>
      <c r="E51" s="8">
        <f>IF(Applications!A51="","",IF(COUNT(C51:D51)=0,"",SUM(C51:D51)))</f>
        <v/>
      </c>
      <c r="F51" s="8">
        <f>IF(Applications!A51="","",SUM(Scoring!F100,Scoring!F101))</f>
        <v/>
      </c>
      <c r="G51" s="8">
        <f>IF(OR(Applications!A51="",E51=""),"",RANK(E51,$E$2:$E$201))</f>
        <v/>
      </c>
    </row>
    <row r="52">
      <c r="A52" s="8">
        <f>IF(Applications!A52="","",Applications!A52)</f>
        <v/>
      </c>
      <c r="B52" s="8">
        <f>IF(Applications!A52="","",Applications!C52)</f>
        <v/>
      </c>
      <c r="C52" s="8">
        <f>IF(Applications!A52="","",Scoring!G102)</f>
        <v/>
      </c>
      <c r="D52" s="8">
        <f>IF(Applications!A52="","",Scoring!G103)</f>
        <v/>
      </c>
      <c r="E52" s="8">
        <f>IF(Applications!A52="","",IF(COUNT(C52:D52)=0,"",SUM(C52:D52)))</f>
        <v/>
      </c>
      <c r="F52" s="8">
        <f>IF(Applications!A52="","",SUM(Scoring!F102,Scoring!F103))</f>
        <v/>
      </c>
      <c r="G52" s="8">
        <f>IF(OR(Applications!A52="",E52=""),"",RANK(E52,$E$2:$E$201))</f>
        <v/>
      </c>
    </row>
    <row r="53">
      <c r="A53" s="8">
        <f>IF(Applications!A53="","",Applications!A53)</f>
        <v/>
      </c>
      <c r="B53" s="8">
        <f>IF(Applications!A53="","",Applications!C53)</f>
        <v/>
      </c>
      <c r="C53" s="8">
        <f>IF(Applications!A53="","",Scoring!G104)</f>
        <v/>
      </c>
      <c r="D53" s="8">
        <f>IF(Applications!A53="","",Scoring!G105)</f>
        <v/>
      </c>
      <c r="E53" s="8">
        <f>IF(Applications!A53="","",IF(COUNT(C53:D53)=0,"",SUM(C53:D53)))</f>
        <v/>
      </c>
      <c r="F53" s="8">
        <f>IF(Applications!A53="","",SUM(Scoring!F104,Scoring!F105))</f>
        <v/>
      </c>
      <c r="G53" s="8">
        <f>IF(OR(Applications!A53="",E53=""),"",RANK(E53,$E$2:$E$201))</f>
        <v/>
      </c>
    </row>
    <row r="54">
      <c r="A54" s="8">
        <f>IF(Applications!A54="","",Applications!A54)</f>
        <v/>
      </c>
      <c r="B54" s="8">
        <f>IF(Applications!A54="","",Applications!C54)</f>
        <v/>
      </c>
      <c r="C54" s="8">
        <f>IF(Applications!A54="","",Scoring!G106)</f>
        <v/>
      </c>
      <c r="D54" s="8">
        <f>IF(Applications!A54="","",Scoring!G107)</f>
        <v/>
      </c>
      <c r="E54" s="8">
        <f>IF(Applications!A54="","",IF(COUNT(C54:D54)=0,"",SUM(C54:D54)))</f>
        <v/>
      </c>
      <c r="F54" s="8">
        <f>IF(Applications!A54="","",SUM(Scoring!F106,Scoring!F107))</f>
        <v/>
      </c>
      <c r="G54" s="8">
        <f>IF(OR(Applications!A54="",E54=""),"",RANK(E54,$E$2:$E$201))</f>
        <v/>
      </c>
    </row>
    <row r="55">
      <c r="A55" s="8">
        <f>IF(Applications!A55="","",Applications!A55)</f>
        <v/>
      </c>
      <c r="B55" s="8">
        <f>IF(Applications!A55="","",Applications!C55)</f>
        <v/>
      </c>
      <c r="C55" s="8">
        <f>IF(Applications!A55="","",Scoring!G108)</f>
        <v/>
      </c>
      <c r="D55" s="8">
        <f>IF(Applications!A55="","",Scoring!G109)</f>
        <v/>
      </c>
      <c r="E55" s="8">
        <f>IF(Applications!A55="","",IF(COUNT(C55:D55)=0,"",SUM(C55:D55)))</f>
        <v/>
      </c>
      <c r="F55" s="8">
        <f>IF(Applications!A55="","",SUM(Scoring!F108,Scoring!F109))</f>
        <v/>
      </c>
      <c r="G55" s="8">
        <f>IF(OR(Applications!A55="",E55=""),"",RANK(E55,$E$2:$E$201))</f>
        <v/>
      </c>
    </row>
    <row r="56">
      <c r="A56" s="8">
        <f>IF(Applications!A56="","",Applications!A56)</f>
        <v/>
      </c>
      <c r="B56" s="8">
        <f>IF(Applications!A56="","",Applications!C56)</f>
        <v/>
      </c>
      <c r="C56" s="8">
        <f>IF(Applications!A56="","",Scoring!G110)</f>
        <v/>
      </c>
      <c r="D56" s="8">
        <f>IF(Applications!A56="","",Scoring!G111)</f>
        <v/>
      </c>
      <c r="E56" s="8">
        <f>IF(Applications!A56="","",IF(COUNT(C56:D56)=0,"",SUM(C56:D56)))</f>
        <v/>
      </c>
      <c r="F56" s="8">
        <f>IF(Applications!A56="","",SUM(Scoring!F110,Scoring!F111))</f>
        <v/>
      </c>
      <c r="G56" s="8">
        <f>IF(OR(Applications!A56="",E56=""),"",RANK(E56,$E$2:$E$201))</f>
        <v/>
      </c>
    </row>
    <row r="57">
      <c r="A57" s="8">
        <f>IF(Applications!A57="","",Applications!A57)</f>
        <v/>
      </c>
      <c r="B57" s="8">
        <f>IF(Applications!A57="","",Applications!C57)</f>
        <v/>
      </c>
      <c r="C57" s="8">
        <f>IF(Applications!A57="","",Scoring!G112)</f>
        <v/>
      </c>
      <c r="D57" s="8">
        <f>IF(Applications!A57="","",Scoring!G113)</f>
        <v/>
      </c>
      <c r="E57" s="8">
        <f>IF(Applications!A57="","",IF(COUNT(C57:D57)=0,"",SUM(C57:D57)))</f>
        <v/>
      </c>
      <c r="F57" s="8">
        <f>IF(Applications!A57="","",SUM(Scoring!F112,Scoring!F113))</f>
        <v/>
      </c>
      <c r="G57" s="8">
        <f>IF(OR(Applications!A57="",E57=""),"",RANK(E57,$E$2:$E$201))</f>
        <v/>
      </c>
    </row>
    <row r="58">
      <c r="A58" s="8">
        <f>IF(Applications!A58="","",Applications!A58)</f>
        <v/>
      </c>
      <c r="B58" s="8">
        <f>IF(Applications!A58="","",Applications!C58)</f>
        <v/>
      </c>
      <c r="C58" s="8">
        <f>IF(Applications!A58="","",Scoring!G114)</f>
        <v/>
      </c>
      <c r="D58" s="8">
        <f>IF(Applications!A58="","",Scoring!G115)</f>
        <v/>
      </c>
      <c r="E58" s="8">
        <f>IF(Applications!A58="","",IF(COUNT(C58:D58)=0,"",SUM(C58:D58)))</f>
        <v/>
      </c>
      <c r="F58" s="8">
        <f>IF(Applications!A58="","",SUM(Scoring!F114,Scoring!F115))</f>
        <v/>
      </c>
      <c r="G58" s="8">
        <f>IF(OR(Applications!A58="",E58=""),"",RANK(E58,$E$2:$E$201))</f>
        <v/>
      </c>
    </row>
    <row r="59">
      <c r="A59" s="8">
        <f>IF(Applications!A59="","",Applications!A59)</f>
        <v/>
      </c>
      <c r="B59" s="8">
        <f>IF(Applications!A59="","",Applications!C59)</f>
        <v/>
      </c>
      <c r="C59" s="8">
        <f>IF(Applications!A59="","",Scoring!G116)</f>
        <v/>
      </c>
      <c r="D59" s="8">
        <f>IF(Applications!A59="","",Scoring!G117)</f>
        <v/>
      </c>
      <c r="E59" s="8">
        <f>IF(Applications!A59="","",IF(COUNT(C59:D59)=0,"",SUM(C59:D59)))</f>
        <v/>
      </c>
      <c r="F59" s="8">
        <f>IF(Applications!A59="","",SUM(Scoring!F116,Scoring!F117))</f>
        <v/>
      </c>
      <c r="G59" s="8">
        <f>IF(OR(Applications!A59="",E59=""),"",RANK(E59,$E$2:$E$201))</f>
        <v/>
      </c>
    </row>
    <row r="60">
      <c r="A60" s="8">
        <f>IF(Applications!A60="","",Applications!A60)</f>
        <v/>
      </c>
      <c r="B60" s="8">
        <f>IF(Applications!A60="","",Applications!C60)</f>
        <v/>
      </c>
      <c r="C60" s="8">
        <f>IF(Applications!A60="","",Scoring!G118)</f>
        <v/>
      </c>
      <c r="D60" s="8">
        <f>IF(Applications!A60="","",Scoring!G119)</f>
        <v/>
      </c>
      <c r="E60" s="8">
        <f>IF(Applications!A60="","",IF(COUNT(C60:D60)=0,"",SUM(C60:D60)))</f>
        <v/>
      </c>
      <c r="F60" s="8">
        <f>IF(Applications!A60="","",SUM(Scoring!F118,Scoring!F119))</f>
        <v/>
      </c>
      <c r="G60" s="8">
        <f>IF(OR(Applications!A60="",E60=""),"",RANK(E60,$E$2:$E$201))</f>
        <v/>
      </c>
    </row>
    <row r="61">
      <c r="A61" s="8">
        <f>IF(Applications!A61="","",Applications!A61)</f>
        <v/>
      </c>
      <c r="B61" s="8">
        <f>IF(Applications!A61="","",Applications!C61)</f>
        <v/>
      </c>
      <c r="C61" s="8">
        <f>IF(Applications!A61="","",Scoring!G120)</f>
        <v/>
      </c>
      <c r="D61" s="8">
        <f>IF(Applications!A61="","",Scoring!G121)</f>
        <v/>
      </c>
      <c r="E61" s="8">
        <f>IF(Applications!A61="","",IF(COUNT(C61:D61)=0,"",SUM(C61:D61)))</f>
        <v/>
      </c>
      <c r="F61" s="8">
        <f>IF(Applications!A61="","",SUM(Scoring!F120,Scoring!F121))</f>
        <v/>
      </c>
      <c r="G61" s="8">
        <f>IF(OR(Applications!A61="",E61=""),"",RANK(E61,$E$2:$E$201))</f>
        <v/>
      </c>
    </row>
    <row r="62">
      <c r="A62" s="8">
        <f>IF(Applications!A62="","",Applications!A62)</f>
        <v/>
      </c>
      <c r="B62" s="8">
        <f>IF(Applications!A62="","",Applications!C62)</f>
        <v/>
      </c>
      <c r="C62" s="8">
        <f>IF(Applications!A62="","",Scoring!G122)</f>
        <v/>
      </c>
      <c r="D62" s="8">
        <f>IF(Applications!A62="","",Scoring!G123)</f>
        <v/>
      </c>
      <c r="E62" s="8">
        <f>IF(Applications!A62="","",IF(COUNT(C62:D62)=0,"",SUM(C62:D62)))</f>
        <v/>
      </c>
      <c r="F62" s="8">
        <f>IF(Applications!A62="","",SUM(Scoring!F122,Scoring!F123))</f>
        <v/>
      </c>
      <c r="G62" s="8">
        <f>IF(OR(Applications!A62="",E62=""),"",RANK(E62,$E$2:$E$201))</f>
        <v/>
      </c>
    </row>
    <row r="63">
      <c r="A63" s="8">
        <f>IF(Applications!A63="","",Applications!A63)</f>
        <v/>
      </c>
      <c r="B63" s="8">
        <f>IF(Applications!A63="","",Applications!C63)</f>
        <v/>
      </c>
      <c r="C63" s="8">
        <f>IF(Applications!A63="","",Scoring!G124)</f>
        <v/>
      </c>
      <c r="D63" s="8">
        <f>IF(Applications!A63="","",Scoring!G125)</f>
        <v/>
      </c>
      <c r="E63" s="8">
        <f>IF(Applications!A63="","",IF(COUNT(C63:D63)=0,"",SUM(C63:D63)))</f>
        <v/>
      </c>
      <c r="F63" s="8">
        <f>IF(Applications!A63="","",SUM(Scoring!F124,Scoring!F125))</f>
        <v/>
      </c>
      <c r="G63" s="8">
        <f>IF(OR(Applications!A63="",E63=""),"",RANK(E63,$E$2:$E$201))</f>
        <v/>
      </c>
    </row>
    <row r="64">
      <c r="A64" s="8">
        <f>IF(Applications!A64="","",Applications!A64)</f>
        <v/>
      </c>
      <c r="B64" s="8">
        <f>IF(Applications!A64="","",Applications!C64)</f>
        <v/>
      </c>
      <c r="C64" s="8">
        <f>IF(Applications!A64="","",Scoring!G126)</f>
        <v/>
      </c>
      <c r="D64" s="8">
        <f>IF(Applications!A64="","",Scoring!G127)</f>
        <v/>
      </c>
      <c r="E64" s="8">
        <f>IF(Applications!A64="","",IF(COUNT(C64:D64)=0,"",SUM(C64:D64)))</f>
        <v/>
      </c>
      <c r="F64" s="8">
        <f>IF(Applications!A64="","",SUM(Scoring!F126,Scoring!F127))</f>
        <v/>
      </c>
      <c r="G64" s="8">
        <f>IF(OR(Applications!A64="",E64=""),"",RANK(E64,$E$2:$E$201))</f>
        <v/>
      </c>
    </row>
    <row r="65">
      <c r="A65" s="8">
        <f>IF(Applications!A65="","",Applications!A65)</f>
        <v/>
      </c>
      <c r="B65" s="8">
        <f>IF(Applications!A65="","",Applications!C65)</f>
        <v/>
      </c>
      <c r="C65" s="8">
        <f>IF(Applications!A65="","",Scoring!G128)</f>
        <v/>
      </c>
      <c r="D65" s="8">
        <f>IF(Applications!A65="","",Scoring!G129)</f>
        <v/>
      </c>
      <c r="E65" s="8">
        <f>IF(Applications!A65="","",IF(COUNT(C65:D65)=0,"",SUM(C65:D65)))</f>
        <v/>
      </c>
      <c r="F65" s="8">
        <f>IF(Applications!A65="","",SUM(Scoring!F128,Scoring!F129))</f>
        <v/>
      </c>
      <c r="G65" s="8">
        <f>IF(OR(Applications!A65="",E65=""),"",RANK(E65,$E$2:$E$201))</f>
        <v/>
      </c>
    </row>
    <row r="66">
      <c r="A66" s="8">
        <f>IF(Applications!A66="","",Applications!A66)</f>
        <v/>
      </c>
      <c r="B66" s="8">
        <f>IF(Applications!A66="","",Applications!C66)</f>
        <v/>
      </c>
      <c r="C66" s="8">
        <f>IF(Applications!A66="","",Scoring!G130)</f>
        <v/>
      </c>
      <c r="D66" s="8">
        <f>IF(Applications!A66="","",Scoring!G131)</f>
        <v/>
      </c>
      <c r="E66" s="8">
        <f>IF(Applications!A66="","",IF(COUNT(C66:D66)=0,"",SUM(C66:D66)))</f>
        <v/>
      </c>
      <c r="F66" s="8">
        <f>IF(Applications!A66="","",SUM(Scoring!F130,Scoring!F131))</f>
        <v/>
      </c>
      <c r="G66" s="8">
        <f>IF(OR(Applications!A66="",E66=""),"",RANK(E66,$E$2:$E$201))</f>
        <v/>
      </c>
    </row>
    <row r="67">
      <c r="A67" s="8">
        <f>IF(Applications!A67="","",Applications!A67)</f>
        <v/>
      </c>
      <c r="B67" s="8">
        <f>IF(Applications!A67="","",Applications!C67)</f>
        <v/>
      </c>
      <c r="C67" s="8">
        <f>IF(Applications!A67="","",Scoring!G132)</f>
        <v/>
      </c>
      <c r="D67" s="8">
        <f>IF(Applications!A67="","",Scoring!G133)</f>
        <v/>
      </c>
      <c r="E67" s="8">
        <f>IF(Applications!A67="","",IF(COUNT(C67:D67)=0,"",SUM(C67:D67)))</f>
        <v/>
      </c>
      <c r="F67" s="8">
        <f>IF(Applications!A67="","",SUM(Scoring!F132,Scoring!F133))</f>
        <v/>
      </c>
      <c r="G67" s="8">
        <f>IF(OR(Applications!A67="",E67=""),"",RANK(E67,$E$2:$E$201))</f>
        <v/>
      </c>
    </row>
    <row r="68">
      <c r="A68" s="8">
        <f>IF(Applications!A68="","",Applications!A68)</f>
        <v/>
      </c>
      <c r="B68" s="8">
        <f>IF(Applications!A68="","",Applications!C68)</f>
        <v/>
      </c>
      <c r="C68" s="8">
        <f>IF(Applications!A68="","",Scoring!G134)</f>
        <v/>
      </c>
      <c r="D68" s="8">
        <f>IF(Applications!A68="","",Scoring!G135)</f>
        <v/>
      </c>
      <c r="E68" s="8">
        <f>IF(Applications!A68="","",IF(COUNT(C68:D68)=0,"",SUM(C68:D68)))</f>
        <v/>
      </c>
      <c r="F68" s="8">
        <f>IF(Applications!A68="","",SUM(Scoring!F134,Scoring!F135))</f>
        <v/>
      </c>
      <c r="G68" s="8">
        <f>IF(OR(Applications!A68="",E68=""),"",RANK(E68,$E$2:$E$201))</f>
        <v/>
      </c>
    </row>
    <row r="69">
      <c r="A69" s="8">
        <f>IF(Applications!A69="","",Applications!A69)</f>
        <v/>
      </c>
      <c r="B69" s="8">
        <f>IF(Applications!A69="","",Applications!C69)</f>
        <v/>
      </c>
      <c r="C69" s="8">
        <f>IF(Applications!A69="","",Scoring!G136)</f>
        <v/>
      </c>
      <c r="D69" s="8">
        <f>IF(Applications!A69="","",Scoring!G137)</f>
        <v/>
      </c>
      <c r="E69" s="8">
        <f>IF(Applications!A69="","",IF(COUNT(C69:D69)=0,"",SUM(C69:D69)))</f>
        <v/>
      </c>
      <c r="F69" s="8">
        <f>IF(Applications!A69="","",SUM(Scoring!F136,Scoring!F137))</f>
        <v/>
      </c>
      <c r="G69" s="8">
        <f>IF(OR(Applications!A69="",E69=""),"",RANK(E69,$E$2:$E$201))</f>
        <v/>
      </c>
    </row>
    <row r="70">
      <c r="A70" s="8">
        <f>IF(Applications!A70="","",Applications!A70)</f>
        <v/>
      </c>
      <c r="B70" s="8">
        <f>IF(Applications!A70="","",Applications!C70)</f>
        <v/>
      </c>
      <c r="C70" s="8">
        <f>IF(Applications!A70="","",Scoring!G138)</f>
        <v/>
      </c>
      <c r="D70" s="8">
        <f>IF(Applications!A70="","",Scoring!G139)</f>
        <v/>
      </c>
      <c r="E70" s="8">
        <f>IF(Applications!A70="","",IF(COUNT(C70:D70)=0,"",SUM(C70:D70)))</f>
        <v/>
      </c>
      <c r="F70" s="8">
        <f>IF(Applications!A70="","",SUM(Scoring!F138,Scoring!F139))</f>
        <v/>
      </c>
      <c r="G70" s="8">
        <f>IF(OR(Applications!A70="",E70=""),"",RANK(E70,$E$2:$E$201))</f>
        <v/>
      </c>
    </row>
    <row r="71">
      <c r="A71" s="8">
        <f>IF(Applications!A71="","",Applications!A71)</f>
        <v/>
      </c>
      <c r="B71" s="8">
        <f>IF(Applications!A71="","",Applications!C71)</f>
        <v/>
      </c>
      <c r="C71" s="8">
        <f>IF(Applications!A71="","",Scoring!G140)</f>
        <v/>
      </c>
      <c r="D71" s="8">
        <f>IF(Applications!A71="","",Scoring!G141)</f>
        <v/>
      </c>
      <c r="E71" s="8">
        <f>IF(Applications!A71="","",IF(COUNT(C71:D71)=0,"",SUM(C71:D71)))</f>
        <v/>
      </c>
      <c r="F71" s="8">
        <f>IF(Applications!A71="","",SUM(Scoring!F140,Scoring!F141))</f>
        <v/>
      </c>
      <c r="G71" s="8">
        <f>IF(OR(Applications!A71="",E71=""),"",RANK(E71,$E$2:$E$201))</f>
        <v/>
      </c>
    </row>
    <row r="72">
      <c r="A72" s="8">
        <f>IF(Applications!A72="","",Applications!A72)</f>
        <v/>
      </c>
      <c r="B72" s="8">
        <f>IF(Applications!A72="","",Applications!C72)</f>
        <v/>
      </c>
      <c r="C72" s="8">
        <f>IF(Applications!A72="","",Scoring!G142)</f>
        <v/>
      </c>
      <c r="D72" s="8">
        <f>IF(Applications!A72="","",Scoring!G143)</f>
        <v/>
      </c>
      <c r="E72" s="8">
        <f>IF(Applications!A72="","",IF(COUNT(C72:D72)=0,"",SUM(C72:D72)))</f>
        <v/>
      </c>
      <c r="F72" s="8">
        <f>IF(Applications!A72="","",SUM(Scoring!F142,Scoring!F143))</f>
        <v/>
      </c>
      <c r="G72" s="8">
        <f>IF(OR(Applications!A72="",E72=""),"",RANK(E72,$E$2:$E$201))</f>
        <v/>
      </c>
    </row>
    <row r="73">
      <c r="A73" s="8">
        <f>IF(Applications!A73="","",Applications!A73)</f>
        <v/>
      </c>
      <c r="B73" s="8">
        <f>IF(Applications!A73="","",Applications!C73)</f>
        <v/>
      </c>
      <c r="C73" s="8">
        <f>IF(Applications!A73="","",Scoring!G144)</f>
        <v/>
      </c>
      <c r="D73" s="8">
        <f>IF(Applications!A73="","",Scoring!G145)</f>
        <v/>
      </c>
      <c r="E73" s="8">
        <f>IF(Applications!A73="","",IF(COUNT(C73:D73)=0,"",SUM(C73:D73)))</f>
        <v/>
      </c>
      <c r="F73" s="8">
        <f>IF(Applications!A73="","",SUM(Scoring!F144,Scoring!F145))</f>
        <v/>
      </c>
      <c r="G73" s="8">
        <f>IF(OR(Applications!A73="",E73=""),"",RANK(E73,$E$2:$E$201))</f>
        <v/>
      </c>
    </row>
    <row r="74">
      <c r="A74" s="8">
        <f>IF(Applications!A74="","",Applications!A74)</f>
        <v/>
      </c>
      <c r="B74" s="8">
        <f>IF(Applications!A74="","",Applications!C74)</f>
        <v/>
      </c>
      <c r="C74" s="8">
        <f>IF(Applications!A74="","",Scoring!G146)</f>
        <v/>
      </c>
      <c r="D74" s="8">
        <f>IF(Applications!A74="","",Scoring!G147)</f>
        <v/>
      </c>
      <c r="E74" s="8">
        <f>IF(Applications!A74="","",IF(COUNT(C74:D74)=0,"",SUM(C74:D74)))</f>
        <v/>
      </c>
      <c r="F74" s="8">
        <f>IF(Applications!A74="","",SUM(Scoring!F146,Scoring!F147))</f>
        <v/>
      </c>
      <c r="G74" s="8">
        <f>IF(OR(Applications!A74="",E74=""),"",RANK(E74,$E$2:$E$201))</f>
        <v/>
      </c>
    </row>
    <row r="75">
      <c r="A75" s="8">
        <f>IF(Applications!A75="","",Applications!A75)</f>
        <v/>
      </c>
      <c r="B75" s="8">
        <f>IF(Applications!A75="","",Applications!C75)</f>
        <v/>
      </c>
      <c r="C75" s="8">
        <f>IF(Applications!A75="","",Scoring!G148)</f>
        <v/>
      </c>
      <c r="D75" s="8">
        <f>IF(Applications!A75="","",Scoring!G149)</f>
        <v/>
      </c>
      <c r="E75" s="8">
        <f>IF(Applications!A75="","",IF(COUNT(C75:D75)=0,"",SUM(C75:D75)))</f>
        <v/>
      </c>
      <c r="F75" s="8">
        <f>IF(Applications!A75="","",SUM(Scoring!F148,Scoring!F149))</f>
        <v/>
      </c>
      <c r="G75" s="8">
        <f>IF(OR(Applications!A75="",E75=""),"",RANK(E75,$E$2:$E$201))</f>
        <v/>
      </c>
    </row>
    <row r="76">
      <c r="A76" s="8">
        <f>IF(Applications!A76="","",Applications!A76)</f>
        <v/>
      </c>
      <c r="B76" s="8">
        <f>IF(Applications!A76="","",Applications!C76)</f>
        <v/>
      </c>
      <c r="C76" s="8">
        <f>IF(Applications!A76="","",Scoring!G150)</f>
        <v/>
      </c>
      <c r="D76" s="8">
        <f>IF(Applications!A76="","",Scoring!G151)</f>
        <v/>
      </c>
      <c r="E76" s="8">
        <f>IF(Applications!A76="","",IF(COUNT(C76:D76)=0,"",SUM(C76:D76)))</f>
        <v/>
      </c>
      <c r="F76" s="8">
        <f>IF(Applications!A76="","",SUM(Scoring!F150,Scoring!F151))</f>
        <v/>
      </c>
      <c r="G76" s="8">
        <f>IF(OR(Applications!A76="",E76=""),"",RANK(E76,$E$2:$E$201))</f>
        <v/>
      </c>
    </row>
    <row r="77">
      <c r="A77" s="8">
        <f>IF(Applications!A77="","",Applications!A77)</f>
        <v/>
      </c>
      <c r="B77" s="8">
        <f>IF(Applications!A77="","",Applications!C77)</f>
        <v/>
      </c>
      <c r="C77" s="8">
        <f>IF(Applications!A77="","",Scoring!G152)</f>
        <v/>
      </c>
      <c r="D77" s="8">
        <f>IF(Applications!A77="","",Scoring!G153)</f>
        <v/>
      </c>
      <c r="E77" s="8">
        <f>IF(Applications!A77="","",IF(COUNT(C77:D77)=0,"",SUM(C77:D77)))</f>
        <v/>
      </c>
      <c r="F77" s="8">
        <f>IF(Applications!A77="","",SUM(Scoring!F152,Scoring!F153))</f>
        <v/>
      </c>
      <c r="G77" s="8">
        <f>IF(OR(Applications!A77="",E77=""),"",RANK(E77,$E$2:$E$201))</f>
        <v/>
      </c>
    </row>
    <row r="78">
      <c r="A78" s="8">
        <f>IF(Applications!A78="","",Applications!A78)</f>
        <v/>
      </c>
      <c r="B78" s="8">
        <f>IF(Applications!A78="","",Applications!C78)</f>
        <v/>
      </c>
      <c r="C78" s="8">
        <f>IF(Applications!A78="","",Scoring!G154)</f>
        <v/>
      </c>
      <c r="D78" s="8">
        <f>IF(Applications!A78="","",Scoring!G155)</f>
        <v/>
      </c>
      <c r="E78" s="8">
        <f>IF(Applications!A78="","",IF(COUNT(C78:D78)=0,"",SUM(C78:D78)))</f>
        <v/>
      </c>
      <c r="F78" s="8">
        <f>IF(Applications!A78="","",SUM(Scoring!F154,Scoring!F155))</f>
        <v/>
      </c>
      <c r="G78" s="8">
        <f>IF(OR(Applications!A78="",E78=""),"",RANK(E78,$E$2:$E$201))</f>
        <v/>
      </c>
    </row>
    <row r="79">
      <c r="A79" s="8">
        <f>IF(Applications!A79="","",Applications!A79)</f>
        <v/>
      </c>
      <c r="B79" s="8">
        <f>IF(Applications!A79="","",Applications!C79)</f>
        <v/>
      </c>
      <c r="C79" s="8">
        <f>IF(Applications!A79="","",Scoring!G156)</f>
        <v/>
      </c>
      <c r="D79" s="8">
        <f>IF(Applications!A79="","",Scoring!G157)</f>
        <v/>
      </c>
      <c r="E79" s="8">
        <f>IF(Applications!A79="","",IF(COUNT(C79:D79)=0,"",SUM(C79:D79)))</f>
        <v/>
      </c>
      <c r="F79" s="8">
        <f>IF(Applications!A79="","",SUM(Scoring!F156,Scoring!F157))</f>
        <v/>
      </c>
      <c r="G79" s="8">
        <f>IF(OR(Applications!A79="",E79=""),"",RANK(E79,$E$2:$E$201))</f>
        <v/>
      </c>
    </row>
    <row r="80">
      <c r="A80" s="8">
        <f>IF(Applications!A80="","",Applications!A80)</f>
        <v/>
      </c>
      <c r="B80" s="8">
        <f>IF(Applications!A80="","",Applications!C80)</f>
        <v/>
      </c>
      <c r="C80" s="8">
        <f>IF(Applications!A80="","",Scoring!G158)</f>
        <v/>
      </c>
      <c r="D80" s="8">
        <f>IF(Applications!A80="","",Scoring!G159)</f>
        <v/>
      </c>
      <c r="E80" s="8">
        <f>IF(Applications!A80="","",IF(COUNT(C80:D80)=0,"",SUM(C80:D80)))</f>
        <v/>
      </c>
      <c r="F80" s="8">
        <f>IF(Applications!A80="","",SUM(Scoring!F158,Scoring!F159))</f>
        <v/>
      </c>
      <c r="G80" s="8">
        <f>IF(OR(Applications!A80="",E80=""),"",RANK(E80,$E$2:$E$201))</f>
        <v/>
      </c>
    </row>
    <row r="81">
      <c r="A81" s="8">
        <f>IF(Applications!A81="","",Applications!A81)</f>
        <v/>
      </c>
      <c r="B81" s="8">
        <f>IF(Applications!A81="","",Applications!C81)</f>
        <v/>
      </c>
      <c r="C81" s="8">
        <f>IF(Applications!A81="","",Scoring!G160)</f>
        <v/>
      </c>
      <c r="D81" s="8">
        <f>IF(Applications!A81="","",Scoring!G161)</f>
        <v/>
      </c>
      <c r="E81" s="8">
        <f>IF(Applications!A81="","",IF(COUNT(C81:D81)=0,"",SUM(C81:D81)))</f>
        <v/>
      </c>
      <c r="F81" s="8">
        <f>IF(Applications!A81="","",SUM(Scoring!F160,Scoring!F161))</f>
        <v/>
      </c>
      <c r="G81" s="8">
        <f>IF(OR(Applications!A81="",E81=""),"",RANK(E81,$E$2:$E$201))</f>
        <v/>
      </c>
    </row>
    <row r="82">
      <c r="A82" s="8">
        <f>IF(Applications!A82="","",Applications!A82)</f>
        <v/>
      </c>
      <c r="B82" s="8">
        <f>IF(Applications!A82="","",Applications!C82)</f>
        <v/>
      </c>
      <c r="C82" s="8">
        <f>IF(Applications!A82="","",Scoring!G162)</f>
        <v/>
      </c>
      <c r="D82" s="8">
        <f>IF(Applications!A82="","",Scoring!G163)</f>
        <v/>
      </c>
      <c r="E82" s="8">
        <f>IF(Applications!A82="","",IF(COUNT(C82:D82)=0,"",SUM(C82:D82)))</f>
        <v/>
      </c>
      <c r="F82" s="8">
        <f>IF(Applications!A82="","",SUM(Scoring!F162,Scoring!F163))</f>
        <v/>
      </c>
      <c r="G82" s="8">
        <f>IF(OR(Applications!A82="",E82=""),"",RANK(E82,$E$2:$E$201))</f>
        <v/>
      </c>
    </row>
    <row r="83">
      <c r="A83" s="8">
        <f>IF(Applications!A83="","",Applications!A83)</f>
        <v/>
      </c>
      <c r="B83" s="8">
        <f>IF(Applications!A83="","",Applications!C83)</f>
        <v/>
      </c>
      <c r="C83" s="8">
        <f>IF(Applications!A83="","",Scoring!G164)</f>
        <v/>
      </c>
      <c r="D83" s="8">
        <f>IF(Applications!A83="","",Scoring!G165)</f>
        <v/>
      </c>
      <c r="E83" s="8">
        <f>IF(Applications!A83="","",IF(COUNT(C83:D83)=0,"",SUM(C83:D83)))</f>
        <v/>
      </c>
      <c r="F83" s="8">
        <f>IF(Applications!A83="","",SUM(Scoring!F164,Scoring!F165))</f>
        <v/>
      </c>
      <c r="G83" s="8">
        <f>IF(OR(Applications!A83="",E83=""),"",RANK(E83,$E$2:$E$201))</f>
        <v/>
      </c>
    </row>
    <row r="84">
      <c r="A84" s="8">
        <f>IF(Applications!A84="","",Applications!A84)</f>
        <v/>
      </c>
      <c r="B84" s="8">
        <f>IF(Applications!A84="","",Applications!C84)</f>
        <v/>
      </c>
      <c r="C84" s="8">
        <f>IF(Applications!A84="","",Scoring!G166)</f>
        <v/>
      </c>
      <c r="D84" s="8">
        <f>IF(Applications!A84="","",Scoring!G167)</f>
        <v/>
      </c>
      <c r="E84" s="8">
        <f>IF(Applications!A84="","",IF(COUNT(C84:D84)=0,"",SUM(C84:D84)))</f>
        <v/>
      </c>
      <c r="F84" s="8">
        <f>IF(Applications!A84="","",SUM(Scoring!F166,Scoring!F167))</f>
        <v/>
      </c>
      <c r="G84" s="8">
        <f>IF(OR(Applications!A84="",E84=""),"",RANK(E84,$E$2:$E$201))</f>
        <v/>
      </c>
    </row>
    <row r="85">
      <c r="A85" s="8">
        <f>IF(Applications!A85="","",Applications!A85)</f>
        <v/>
      </c>
      <c r="B85" s="8">
        <f>IF(Applications!A85="","",Applications!C85)</f>
        <v/>
      </c>
      <c r="C85" s="8">
        <f>IF(Applications!A85="","",Scoring!G168)</f>
        <v/>
      </c>
      <c r="D85" s="8">
        <f>IF(Applications!A85="","",Scoring!G169)</f>
        <v/>
      </c>
      <c r="E85" s="8">
        <f>IF(Applications!A85="","",IF(COUNT(C85:D85)=0,"",SUM(C85:D85)))</f>
        <v/>
      </c>
      <c r="F85" s="8">
        <f>IF(Applications!A85="","",SUM(Scoring!F168,Scoring!F169))</f>
        <v/>
      </c>
      <c r="G85" s="8">
        <f>IF(OR(Applications!A85="",E85=""),"",RANK(E85,$E$2:$E$201))</f>
        <v/>
      </c>
    </row>
    <row r="86">
      <c r="A86" s="8">
        <f>IF(Applications!A86="","",Applications!A86)</f>
        <v/>
      </c>
      <c r="B86" s="8">
        <f>IF(Applications!A86="","",Applications!C86)</f>
        <v/>
      </c>
      <c r="C86" s="8">
        <f>IF(Applications!A86="","",Scoring!G170)</f>
        <v/>
      </c>
      <c r="D86" s="8">
        <f>IF(Applications!A86="","",Scoring!G171)</f>
        <v/>
      </c>
      <c r="E86" s="8">
        <f>IF(Applications!A86="","",IF(COUNT(C86:D86)=0,"",SUM(C86:D86)))</f>
        <v/>
      </c>
      <c r="F86" s="8">
        <f>IF(Applications!A86="","",SUM(Scoring!F170,Scoring!F171))</f>
        <v/>
      </c>
      <c r="G86" s="8">
        <f>IF(OR(Applications!A86="",E86=""),"",RANK(E86,$E$2:$E$201))</f>
        <v/>
      </c>
    </row>
    <row r="87">
      <c r="A87" s="8">
        <f>IF(Applications!A87="","",Applications!A87)</f>
        <v/>
      </c>
      <c r="B87" s="8">
        <f>IF(Applications!A87="","",Applications!C87)</f>
        <v/>
      </c>
      <c r="C87" s="8">
        <f>IF(Applications!A87="","",Scoring!G172)</f>
        <v/>
      </c>
      <c r="D87" s="8">
        <f>IF(Applications!A87="","",Scoring!G173)</f>
        <v/>
      </c>
      <c r="E87" s="8">
        <f>IF(Applications!A87="","",IF(COUNT(C87:D87)=0,"",SUM(C87:D87)))</f>
        <v/>
      </c>
      <c r="F87" s="8">
        <f>IF(Applications!A87="","",SUM(Scoring!F172,Scoring!F173))</f>
        <v/>
      </c>
      <c r="G87" s="8">
        <f>IF(OR(Applications!A87="",E87=""),"",RANK(E87,$E$2:$E$201))</f>
        <v/>
      </c>
    </row>
    <row r="88">
      <c r="A88" s="8">
        <f>IF(Applications!A88="","",Applications!A88)</f>
        <v/>
      </c>
      <c r="B88" s="8">
        <f>IF(Applications!A88="","",Applications!C88)</f>
        <v/>
      </c>
      <c r="C88" s="8">
        <f>IF(Applications!A88="","",Scoring!G174)</f>
        <v/>
      </c>
      <c r="D88" s="8">
        <f>IF(Applications!A88="","",Scoring!G175)</f>
        <v/>
      </c>
      <c r="E88" s="8">
        <f>IF(Applications!A88="","",IF(COUNT(C88:D88)=0,"",SUM(C88:D88)))</f>
        <v/>
      </c>
      <c r="F88" s="8">
        <f>IF(Applications!A88="","",SUM(Scoring!F174,Scoring!F175))</f>
        <v/>
      </c>
      <c r="G88" s="8">
        <f>IF(OR(Applications!A88="",E88=""),"",RANK(E88,$E$2:$E$201))</f>
        <v/>
      </c>
    </row>
    <row r="89">
      <c r="A89" s="8">
        <f>IF(Applications!A89="","",Applications!A89)</f>
        <v/>
      </c>
      <c r="B89" s="8">
        <f>IF(Applications!A89="","",Applications!C89)</f>
        <v/>
      </c>
      <c r="C89" s="8">
        <f>IF(Applications!A89="","",Scoring!G176)</f>
        <v/>
      </c>
      <c r="D89" s="8">
        <f>IF(Applications!A89="","",Scoring!G177)</f>
        <v/>
      </c>
      <c r="E89" s="8">
        <f>IF(Applications!A89="","",IF(COUNT(C89:D89)=0,"",SUM(C89:D89)))</f>
        <v/>
      </c>
      <c r="F89" s="8">
        <f>IF(Applications!A89="","",SUM(Scoring!F176,Scoring!F177))</f>
        <v/>
      </c>
      <c r="G89" s="8">
        <f>IF(OR(Applications!A89="",E89=""),"",RANK(E89,$E$2:$E$201))</f>
        <v/>
      </c>
    </row>
    <row r="90">
      <c r="A90" s="8">
        <f>IF(Applications!A90="","",Applications!A90)</f>
        <v/>
      </c>
      <c r="B90" s="8">
        <f>IF(Applications!A90="","",Applications!C90)</f>
        <v/>
      </c>
      <c r="C90" s="8">
        <f>IF(Applications!A90="","",Scoring!G178)</f>
        <v/>
      </c>
      <c r="D90" s="8">
        <f>IF(Applications!A90="","",Scoring!G179)</f>
        <v/>
      </c>
      <c r="E90" s="8">
        <f>IF(Applications!A90="","",IF(COUNT(C90:D90)=0,"",SUM(C90:D90)))</f>
        <v/>
      </c>
      <c r="F90" s="8">
        <f>IF(Applications!A90="","",SUM(Scoring!F178,Scoring!F179))</f>
        <v/>
      </c>
      <c r="G90" s="8">
        <f>IF(OR(Applications!A90="",E90=""),"",RANK(E90,$E$2:$E$201))</f>
        <v/>
      </c>
    </row>
    <row r="91">
      <c r="A91" s="8">
        <f>IF(Applications!A91="","",Applications!A91)</f>
        <v/>
      </c>
      <c r="B91" s="8">
        <f>IF(Applications!A91="","",Applications!C91)</f>
        <v/>
      </c>
      <c r="C91" s="8">
        <f>IF(Applications!A91="","",Scoring!G180)</f>
        <v/>
      </c>
      <c r="D91" s="8">
        <f>IF(Applications!A91="","",Scoring!G181)</f>
        <v/>
      </c>
      <c r="E91" s="8">
        <f>IF(Applications!A91="","",IF(COUNT(C91:D91)=0,"",SUM(C91:D91)))</f>
        <v/>
      </c>
      <c r="F91" s="8">
        <f>IF(Applications!A91="","",SUM(Scoring!F180,Scoring!F181))</f>
        <v/>
      </c>
      <c r="G91" s="8">
        <f>IF(OR(Applications!A91="",E91=""),"",RANK(E91,$E$2:$E$201))</f>
        <v/>
      </c>
    </row>
    <row r="92">
      <c r="A92" s="8">
        <f>IF(Applications!A92="","",Applications!A92)</f>
        <v/>
      </c>
      <c r="B92" s="8">
        <f>IF(Applications!A92="","",Applications!C92)</f>
        <v/>
      </c>
      <c r="C92" s="8">
        <f>IF(Applications!A92="","",Scoring!G182)</f>
        <v/>
      </c>
      <c r="D92" s="8">
        <f>IF(Applications!A92="","",Scoring!G183)</f>
        <v/>
      </c>
      <c r="E92" s="8">
        <f>IF(Applications!A92="","",IF(COUNT(C92:D92)=0,"",SUM(C92:D92)))</f>
        <v/>
      </c>
      <c r="F92" s="8">
        <f>IF(Applications!A92="","",SUM(Scoring!F182,Scoring!F183))</f>
        <v/>
      </c>
      <c r="G92" s="8">
        <f>IF(OR(Applications!A92="",E92=""),"",RANK(E92,$E$2:$E$201))</f>
        <v/>
      </c>
    </row>
    <row r="93">
      <c r="A93" s="8">
        <f>IF(Applications!A93="","",Applications!A93)</f>
        <v/>
      </c>
      <c r="B93" s="8">
        <f>IF(Applications!A93="","",Applications!C93)</f>
        <v/>
      </c>
      <c r="C93" s="8">
        <f>IF(Applications!A93="","",Scoring!G184)</f>
        <v/>
      </c>
      <c r="D93" s="8">
        <f>IF(Applications!A93="","",Scoring!G185)</f>
        <v/>
      </c>
      <c r="E93" s="8">
        <f>IF(Applications!A93="","",IF(COUNT(C93:D93)=0,"",SUM(C93:D93)))</f>
        <v/>
      </c>
      <c r="F93" s="8">
        <f>IF(Applications!A93="","",SUM(Scoring!F184,Scoring!F185))</f>
        <v/>
      </c>
      <c r="G93" s="8">
        <f>IF(OR(Applications!A93="",E93=""),"",RANK(E93,$E$2:$E$201))</f>
        <v/>
      </c>
    </row>
    <row r="94">
      <c r="A94" s="8">
        <f>IF(Applications!A94="","",Applications!A94)</f>
        <v/>
      </c>
      <c r="B94" s="8">
        <f>IF(Applications!A94="","",Applications!C94)</f>
        <v/>
      </c>
      <c r="C94" s="8">
        <f>IF(Applications!A94="","",Scoring!G186)</f>
        <v/>
      </c>
      <c r="D94" s="8">
        <f>IF(Applications!A94="","",Scoring!G187)</f>
        <v/>
      </c>
      <c r="E94" s="8">
        <f>IF(Applications!A94="","",IF(COUNT(C94:D94)=0,"",SUM(C94:D94)))</f>
        <v/>
      </c>
      <c r="F94" s="8">
        <f>IF(Applications!A94="","",SUM(Scoring!F186,Scoring!F187))</f>
        <v/>
      </c>
      <c r="G94" s="8">
        <f>IF(OR(Applications!A94="",E94=""),"",RANK(E94,$E$2:$E$201))</f>
        <v/>
      </c>
    </row>
    <row r="95">
      <c r="A95" s="8">
        <f>IF(Applications!A95="","",Applications!A95)</f>
        <v/>
      </c>
      <c r="B95" s="8">
        <f>IF(Applications!A95="","",Applications!C95)</f>
        <v/>
      </c>
      <c r="C95" s="8">
        <f>IF(Applications!A95="","",Scoring!G188)</f>
        <v/>
      </c>
      <c r="D95" s="8">
        <f>IF(Applications!A95="","",Scoring!G189)</f>
        <v/>
      </c>
      <c r="E95" s="8">
        <f>IF(Applications!A95="","",IF(COUNT(C95:D95)=0,"",SUM(C95:D95)))</f>
        <v/>
      </c>
      <c r="F95" s="8">
        <f>IF(Applications!A95="","",SUM(Scoring!F188,Scoring!F189))</f>
        <v/>
      </c>
      <c r="G95" s="8">
        <f>IF(OR(Applications!A95="",E95=""),"",RANK(E95,$E$2:$E$201))</f>
        <v/>
      </c>
    </row>
    <row r="96">
      <c r="A96" s="8">
        <f>IF(Applications!A96="","",Applications!A96)</f>
        <v/>
      </c>
      <c r="B96" s="8">
        <f>IF(Applications!A96="","",Applications!C96)</f>
        <v/>
      </c>
      <c r="C96" s="8">
        <f>IF(Applications!A96="","",Scoring!G190)</f>
        <v/>
      </c>
      <c r="D96" s="8">
        <f>IF(Applications!A96="","",Scoring!G191)</f>
        <v/>
      </c>
      <c r="E96" s="8">
        <f>IF(Applications!A96="","",IF(COUNT(C96:D96)=0,"",SUM(C96:D96)))</f>
        <v/>
      </c>
      <c r="F96" s="8">
        <f>IF(Applications!A96="","",SUM(Scoring!F190,Scoring!F191))</f>
        <v/>
      </c>
      <c r="G96" s="8">
        <f>IF(OR(Applications!A96="",E96=""),"",RANK(E96,$E$2:$E$201))</f>
        <v/>
      </c>
    </row>
    <row r="97">
      <c r="A97" s="8">
        <f>IF(Applications!A97="","",Applications!A97)</f>
        <v/>
      </c>
      <c r="B97" s="8">
        <f>IF(Applications!A97="","",Applications!C97)</f>
        <v/>
      </c>
      <c r="C97" s="8">
        <f>IF(Applications!A97="","",Scoring!G192)</f>
        <v/>
      </c>
      <c r="D97" s="8">
        <f>IF(Applications!A97="","",Scoring!G193)</f>
        <v/>
      </c>
      <c r="E97" s="8">
        <f>IF(Applications!A97="","",IF(COUNT(C97:D97)=0,"",SUM(C97:D97)))</f>
        <v/>
      </c>
      <c r="F97" s="8">
        <f>IF(Applications!A97="","",SUM(Scoring!F192,Scoring!F193))</f>
        <v/>
      </c>
      <c r="G97" s="8">
        <f>IF(OR(Applications!A97="",E97=""),"",RANK(E97,$E$2:$E$201))</f>
        <v/>
      </c>
    </row>
    <row r="98">
      <c r="A98" s="8">
        <f>IF(Applications!A98="","",Applications!A98)</f>
        <v/>
      </c>
      <c r="B98" s="8">
        <f>IF(Applications!A98="","",Applications!C98)</f>
        <v/>
      </c>
      <c r="C98" s="8">
        <f>IF(Applications!A98="","",Scoring!G194)</f>
        <v/>
      </c>
      <c r="D98" s="8">
        <f>IF(Applications!A98="","",Scoring!G195)</f>
        <v/>
      </c>
      <c r="E98" s="8">
        <f>IF(Applications!A98="","",IF(COUNT(C98:D98)=0,"",SUM(C98:D98)))</f>
        <v/>
      </c>
      <c r="F98" s="8">
        <f>IF(Applications!A98="","",SUM(Scoring!F194,Scoring!F195))</f>
        <v/>
      </c>
      <c r="G98" s="8">
        <f>IF(OR(Applications!A98="",E98=""),"",RANK(E98,$E$2:$E$201))</f>
        <v/>
      </c>
    </row>
    <row r="99">
      <c r="A99" s="8">
        <f>IF(Applications!A99="","",Applications!A99)</f>
        <v/>
      </c>
      <c r="B99" s="8">
        <f>IF(Applications!A99="","",Applications!C99)</f>
        <v/>
      </c>
      <c r="C99" s="8">
        <f>IF(Applications!A99="","",Scoring!G196)</f>
        <v/>
      </c>
      <c r="D99" s="8">
        <f>IF(Applications!A99="","",Scoring!G197)</f>
        <v/>
      </c>
      <c r="E99" s="8">
        <f>IF(Applications!A99="","",IF(COUNT(C99:D99)=0,"",SUM(C99:D99)))</f>
        <v/>
      </c>
      <c r="F99" s="8">
        <f>IF(Applications!A99="","",SUM(Scoring!F196,Scoring!F197))</f>
        <v/>
      </c>
      <c r="G99" s="8">
        <f>IF(OR(Applications!A99="",E99=""),"",RANK(E99,$E$2:$E$201))</f>
        <v/>
      </c>
    </row>
    <row r="100">
      <c r="A100" s="8">
        <f>IF(Applications!A100="","",Applications!A100)</f>
        <v/>
      </c>
      <c r="B100" s="8">
        <f>IF(Applications!A100="","",Applications!C100)</f>
        <v/>
      </c>
      <c r="C100" s="8">
        <f>IF(Applications!A100="","",Scoring!G198)</f>
        <v/>
      </c>
      <c r="D100" s="8">
        <f>IF(Applications!A100="","",Scoring!G199)</f>
        <v/>
      </c>
      <c r="E100" s="8">
        <f>IF(Applications!A100="","",IF(COUNT(C100:D100)=0,"",SUM(C100:D100)))</f>
        <v/>
      </c>
      <c r="F100" s="8">
        <f>IF(Applications!A100="","",SUM(Scoring!F198,Scoring!F199))</f>
        <v/>
      </c>
      <c r="G100" s="8">
        <f>IF(OR(Applications!A100="",E100=""),"",RANK(E100,$E$2:$E$201))</f>
        <v/>
      </c>
    </row>
    <row r="101">
      <c r="A101" s="8">
        <f>IF(Applications!A101="","",Applications!A101)</f>
        <v/>
      </c>
      <c r="B101" s="8">
        <f>IF(Applications!A101="","",Applications!C101)</f>
        <v/>
      </c>
      <c r="C101" s="8">
        <f>IF(Applications!A101="","",Scoring!G200)</f>
        <v/>
      </c>
      <c r="D101" s="8">
        <f>IF(Applications!A101="","",Scoring!G201)</f>
        <v/>
      </c>
      <c r="E101" s="8">
        <f>IF(Applications!A101="","",IF(COUNT(C101:D101)=0,"",SUM(C101:D101)))</f>
        <v/>
      </c>
      <c r="F101" s="8">
        <f>IF(Applications!A101="","",SUM(Scoring!F200,Scoring!F201))</f>
        <v/>
      </c>
      <c r="G101" s="8">
        <f>IF(OR(Applications!A101="",E101=""),"",RANK(E101,$E$2:$E$201))</f>
        <v/>
      </c>
    </row>
    <row r="102">
      <c r="A102" s="8">
        <f>IF(Applications!A102="","",Applications!A102)</f>
        <v/>
      </c>
      <c r="B102" s="8">
        <f>IF(Applications!A102="","",Applications!C102)</f>
        <v/>
      </c>
      <c r="C102" s="8">
        <f>IF(Applications!A102="","",Scoring!G202)</f>
        <v/>
      </c>
      <c r="D102" s="8">
        <f>IF(Applications!A102="","",Scoring!G203)</f>
        <v/>
      </c>
      <c r="E102" s="8">
        <f>IF(Applications!A102="","",IF(COUNT(C102:D102)=0,"",SUM(C102:D102)))</f>
        <v/>
      </c>
      <c r="F102" s="8">
        <f>IF(Applications!A102="","",SUM(Scoring!F202,Scoring!F203))</f>
        <v/>
      </c>
      <c r="G102" s="8">
        <f>IF(OR(Applications!A102="",E102=""),"",RANK(E102,$E$2:$E$201))</f>
        <v/>
      </c>
    </row>
    <row r="103">
      <c r="A103" s="8">
        <f>IF(Applications!A103="","",Applications!A103)</f>
        <v/>
      </c>
      <c r="B103" s="8">
        <f>IF(Applications!A103="","",Applications!C103)</f>
        <v/>
      </c>
      <c r="C103" s="8">
        <f>IF(Applications!A103="","",Scoring!G204)</f>
        <v/>
      </c>
      <c r="D103" s="8">
        <f>IF(Applications!A103="","",Scoring!G205)</f>
        <v/>
      </c>
      <c r="E103" s="8">
        <f>IF(Applications!A103="","",IF(COUNT(C103:D103)=0,"",SUM(C103:D103)))</f>
        <v/>
      </c>
      <c r="F103" s="8">
        <f>IF(Applications!A103="","",SUM(Scoring!F204,Scoring!F205))</f>
        <v/>
      </c>
      <c r="G103" s="8">
        <f>IF(OR(Applications!A103="",E103=""),"",RANK(E103,$E$2:$E$201))</f>
        <v/>
      </c>
    </row>
    <row r="104">
      <c r="A104" s="8">
        <f>IF(Applications!A104="","",Applications!A104)</f>
        <v/>
      </c>
      <c r="B104" s="8">
        <f>IF(Applications!A104="","",Applications!C104)</f>
        <v/>
      </c>
      <c r="C104" s="8">
        <f>IF(Applications!A104="","",Scoring!G206)</f>
        <v/>
      </c>
      <c r="D104" s="8">
        <f>IF(Applications!A104="","",Scoring!G207)</f>
        <v/>
      </c>
      <c r="E104" s="8">
        <f>IF(Applications!A104="","",IF(COUNT(C104:D104)=0,"",SUM(C104:D104)))</f>
        <v/>
      </c>
      <c r="F104" s="8">
        <f>IF(Applications!A104="","",SUM(Scoring!F206,Scoring!F207))</f>
        <v/>
      </c>
      <c r="G104" s="8">
        <f>IF(OR(Applications!A104="",E104=""),"",RANK(E104,$E$2:$E$201))</f>
        <v/>
      </c>
    </row>
    <row r="105">
      <c r="A105" s="8">
        <f>IF(Applications!A105="","",Applications!A105)</f>
        <v/>
      </c>
      <c r="B105" s="8">
        <f>IF(Applications!A105="","",Applications!C105)</f>
        <v/>
      </c>
      <c r="C105" s="8">
        <f>IF(Applications!A105="","",Scoring!G208)</f>
        <v/>
      </c>
      <c r="D105" s="8">
        <f>IF(Applications!A105="","",Scoring!G209)</f>
        <v/>
      </c>
      <c r="E105" s="8">
        <f>IF(Applications!A105="","",IF(COUNT(C105:D105)=0,"",SUM(C105:D105)))</f>
        <v/>
      </c>
      <c r="F105" s="8">
        <f>IF(Applications!A105="","",SUM(Scoring!F208,Scoring!F209))</f>
        <v/>
      </c>
      <c r="G105" s="8">
        <f>IF(OR(Applications!A105="",E105=""),"",RANK(E105,$E$2:$E$201))</f>
        <v/>
      </c>
    </row>
    <row r="106">
      <c r="A106" s="8">
        <f>IF(Applications!A106="","",Applications!A106)</f>
        <v/>
      </c>
      <c r="B106" s="8">
        <f>IF(Applications!A106="","",Applications!C106)</f>
        <v/>
      </c>
      <c r="C106" s="8">
        <f>IF(Applications!A106="","",Scoring!G210)</f>
        <v/>
      </c>
      <c r="D106" s="8">
        <f>IF(Applications!A106="","",Scoring!G211)</f>
        <v/>
      </c>
      <c r="E106" s="8">
        <f>IF(Applications!A106="","",IF(COUNT(C106:D106)=0,"",SUM(C106:D106)))</f>
        <v/>
      </c>
      <c r="F106" s="8">
        <f>IF(Applications!A106="","",SUM(Scoring!F210,Scoring!F211))</f>
        <v/>
      </c>
      <c r="G106" s="8">
        <f>IF(OR(Applications!A106="",E106=""),"",RANK(E106,$E$2:$E$201))</f>
        <v/>
      </c>
    </row>
    <row r="107">
      <c r="A107" s="8">
        <f>IF(Applications!A107="","",Applications!A107)</f>
        <v/>
      </c>
      <c r="B107" s="8">
        <f>IF(Applications!A107="","",Applications!C107)</f>
        <v/>
      </c>
      <c r="C107" s="8">
        <f>IF(Applications!A107="","",Scoring!G212)</f>
        <v/>
      </c>
      <c r="D107" s="8">
        <f>IF(Applications!A107="","",Scoring!G213)</f>
        <v/>
      </c>
      <c r="E107" s="8">
        <f>IF(Applications!A107="","",IF(COUNT(C107:D107)=0,"",SUM(C107:D107)))</f>
        <v/>
      </c>
      <c r="F107" s="8">
        <f>IF(Applications!A107="","",SUM(Scoring!F212,Scoring!F213))</f>
        <v/>
      </c>
      <c r="G107" s="8">
        <f>IF(OR(Applications!A107="",E107=""),"",RANK(E107,$E$2:$E$201))</f>
        <v/>
      </c>
    </row>
    <row r="108">
      <c r="A108" s="8">
        <f>IF(Applications!A108="","",Applications!A108)</f>
        <v/>
      </c>
      <c r="B108" s="8">
        <f>IF(Applications!A108="","",Applications!C108)</f>
        <v/>
      </c>
      <c r="C108" s="8">
        <f>IF(Applications!A108="","",Scoring!G214)</f>
        <v/>
      </c>
      <c r="D108" s="8">
        <f>IF(Applications!A108="","",Scoring!G215)</f>
        <v/>
      </c>
      <c r="E108" s="8">
        <f>IF(Applications!A108="","",IF(COUNT(C108:D108)=0,"",SUM(C108:D108)))</f>
        <v/>
      </c>
      <c r="F108" s="8">
        <f>IF(Applications!A108="","",SUM(Scoring!F214,Scoring!F215))</f>
        <v/>
      </c>
      <c r="G108" s="8">
        <f>IF(OR(Applications!A108="",E108=""),"",RANK(E108,$E$2:$E$201))</f>
        <v/>
      </c>
    </row>
    <row r="109">
      <c r="A109" s="8">
        <f>IF(Applications!A109="","",Applications!A109)</f>
        <v/>
      </c>
      <c r="B109" s="8">
        <f>IF(Applications!A109="","",Applications!C109)</f>
        <v/>
      </c>
      <c r="C109" s="8">
        <f>IF(Applications!A109="","",Scoring!G216)</f>
        <v/>
      </c>
      <c r="D109" s="8">
        <f>IF(Applications!A109="","",Scoring!G217)</f>
        <v/>
      </c>
      <c r="E109" s="8">
        <f>IF(Applications!A109="","",IF(COUNT(C109:D109)=0,"",SUM(C109:D109)))</f>
        <v/>
      </c>
      <c r="F109" s="8">
        <f>IF(Applications!A109="","",SUM(Scoring!F216,Scoring!F217))</f>
        <v/>
      </c>
      <c r="G109" s="8">
        <f>IF(OR(Applications!A109="",E109=""),"",RANK(E109,$E$2:$E$201))</f>
        <v/>
      </c>
    </row>
    <row r="110">
      <c r="A110" s="8">
        <f>IF(Applications!A110="","",Applications!A110)</f>
        <v/>
      </c>
      <c r="B110" s="8">
        <f>IF(Applications!A110="","",Applications!C110)</f>
        <v/>
      </c>
      <c r="C110" s="8">
        <f>IF(Applications!A110="","",Scoring!G218)</f>
        <v/>
      </c>
      <c r="D110" s="8">
        <f>IF(Applications!A110="","",Scoring!G219)</f>
        <v/>
      </c>
      <c r="E110" s="8">
        <f>IF(Applications!A110="","",IF(COUNT(C110:D110)=0,"",SUM(C110:D110)))</f>
        <v/>
      </c>
      <c r="F110" s="8">
        <f>IF(Applications!A110="","",SUM(Scoring!F218,Scoring!F219))</f>
        <v/>
      </c>
      <c r="G110" s="8">
        <f>IF(OR(Applications!A110="",E110=""),"",RANK(E110,$E$2:$E$201))</f>
        <v/>
      </c>
    </row>
    <row r="111">
      <c r="A111" s="8">
        <f>IF(Applications!A111="","",Applications!A111)</f>
        <v/>
      </c>
      <c r="B111" s="8">
        <f>IF(Applications!A111="","",Applications!C111)</f>
        <v/>
      </c>
      <c r="C111" s="8">
        <f>IF(Applications!A111="","",Scoring!G220)</f>
        <v/>
      </c>
      <c r="D111" s="8">
        <f>IF(Applications!A111="","",Scoring!G221)</f>
        <v/>
      </c>
      <c r="E111" s="8">
        <f>IF(Applications!A111="","",IF(COUNT(C111:D111)=0,"",SUM(C111:D111)))</f>
        <v/>
      </c>
      <c r="F111" s="8">
        <f>IF(Applications!A111="","",SUM(Scoring!F220,Scoring!F221))</f>
        <v/>
      </c>
      <c r="G111" s="8">
        <f>IF(OR(Applications!A111="",E111=""),"",RANK(E111,$E$2:$E$201))</f>
        <v/>
      </c>
    </row>
    <row r="112">
      <c r="A112" s="8">
        <f>IF(Applications!A112="","",Applications!A112)</f>
        <v/>
      </c>
      <c r="B112" s="8">
        <f>IF(Applications!A112="","",Applications!C112)</f>
        <v/>
      </c>
      <c r="C112" s="8">
        <f>IF(Applications!A112="","",Scoring!G222)</f>
        <v/>
      </c>
      <c r="D112" s="8">
        <f>IF(Applications!A112="","",Scoring!G223)</f>
        <v/>
      </c>
      <c r="E112" s="8">
        <f>IF(Applications!A112="","",IF(COUNT(C112:D112)=0,"",SUM(C112:D112)))</f>
        <v/>
      </c>
      <c r="F112" s="8">
        <f>IF(Applications!A112="","",SUM(Scoring!F222,Scoring!F223))</f>
        <v/>
      </c>
      <c r="G112" s="8">
        <f>IF(OR(Applications!A112="",E112=""),"",RANK(E112,$E$2:$E$201))</f>
        <v/>
      </c>
    </row>
    <row r="113">
      <c r="A113" s="8">
        <f>IF(Applications!A113="","",Applications!A113)</f>
        <v/>
      </c>
      <c r="B113" s="8">
        <f>IF(Applications!A113="","",Applications!C113)</f>
        <v/>
      </c>
      <c r="C113" s="8">
        <f>IF(Applications!A113="","",Scoring!G224)</f>
        <v/>
      </c>
      <c r="D113" s="8">
        <f>IF(Applications!A113="","",Scoring!G225)</f>
        <v/>
      </c>
      <c r="E113" s="8">
        <f>IF(Applications!A113="","",IF(COUNT(C113:D113)=0,"",SUM(C113:D113)))</f>
        <v/>
      </c>
      <c r="F113" s="8">
        <f>IF(Applications!A113="","",SUM(Scoring!F224,Scoring!F225))</f>
        <v/>
      </c>
      <c r="G113" s="8">
        <f>IF(OR(Applications!A113="",E113=""),"",RANK(E113,$E$2:$E$201))</f>
        <v/>
      </c>
    </row>
    <row r="114">
      <c r="A114" s="8">
        <f>IF(Applications!A114="","",Applications!A114)</f>
        <v/>
      </c>
      <c r="B114" s="8">
        <f>IF(Applications!A114="","",Applications!C114)</f>
        <v/>
      </c>
      <c r="C114" s="8">
        <f>IF(Applications!A114="","",Scoring!G226)</f>
        <v/>
      </c>
      <c r="D114" s="8">
        <f>IF(Applications!A114="","",Scoring!G227)</f>
        <v/>
      </c>
      <c r="E114" s="8">
        <f>IF(Applications!A114="","",IF(COUNT(C114:D114)=0,"",SUM(C114:D114)))</f>
        <v/>
      </c>
      <c r="F114" s="8">
        <f>IF(Applications!A114="","",SUM(Scoring!F226,Scoring!F227))</f>
        <v/>
      </c>
      <c r="G114" s="8">
        <f>IF(OR(Applications!A114="",E114=""),"",RANK(E114,$E$2:$E$201))</f>
        <v/>
      </c>
    </row>
    <row r="115">
      <c r="A115" s="8">
        <f>IF(Applications!A115="","",Applications!A115)</f>
        <v/>
      </c>
      <c r="B115" s="8">
        <f>IF(Applications!A115="","",Applications!C115)</f>
        <v/>
      </c>
      <c r="C115" s="8">
        <f>IF(Applications!A115="","",Scoring!G228)</f>
        <v/>
      </c>
      <c r="D115" s="8">
        <f>IF(Applications!A115="","",Scoring!G229)</f>
        <v/>
      </c>
      <c r="E115" s="8">
        <f>IF(Applications!A115="","",IF(COUNT(C115:D115)=0,"",SUM(C115:D115)))</f>
        <v/>
      </c>
      <c r="F115" s="8">
        <f>IF(Applications!A115="","",SUM(Scoring!F228,Scoring!F229))</f>
        <v/>
      </c>
      <c r="G115" s="8">
        <f>IF(OR(Applications!A115="",E115=""),"",RANK(E115,$E$2:$E$201))</f>
        <v/>
      </c>
    </row>
    <row r="116">
      <c r="A116" s="8">
        <f>IF(Applications!A116="","",Applications!A116)</f>
        <v/>
      </c>
      <c r="B116" s="8">
        <f>IF(Applications!A116="","",Applications!C116)</f>
        <v/>
      </c>
      <c r="C116" s="8">
        <f>IF(Applications!A116="","",Scoring!G230)</f>
        <v/>
      </c>
      <c r="D116" s="8">
        <f>IF(Applications!A116="","",Scoring!G231)</f>
        <v/>
      </c>
      <c r="E116" s="8">
        <f>IF(Applications!A116="","",IF(COUNT(C116:D116)=0,"",SUM(C116:D116)))</f>
        <v/>
      </c>
      <c r="F116" s="8">
        <f>IF(Applications!A116="","",SUM(Scoring!F230,Scoring!F231))</f>
        <v/>
      </c>
      <c r="G116" s="8">
        <f>IF(OR(Applications!A116="",E116=""),"",RANK(E116,$E$2:$E$201))</f>
        <v/>
      </c>
    </row>
    <row r="117">
      <c r="A117" s="8">
        <f>IF(Applications!A117="","",Applications!A117)</f>
        <v/>
      </c>
      <c r="B117" s="8">
        <f>IF(Applications!A117="","",Applications!C117)</f>
        <v/>
      </c>
      <c r="C117" s="8">
        <f>IF(Applications!A117="","",Scoring!G232)</f>
        <v/>
      </c>
      <c r="D117" s="8">
        <f>IF(Applications!A117="","",Scoring!G233)</f>
        <v/>
      </c>
      <c r="E117" s="8">
        <f>IF(Applications!A117="","",IF(COUNT(C117:D117)=0,"",SUM(C117:D117)))</f>
        <v/>
      </c>
      <c r="F117" s="8">
        <f>IF(Applications!A117="","",SUM(Scoring!F232,Scoring!F233))</f>
        <v/>
      </c>
      <c r="G117" s="8">
        <f>IF(OR(Applications!A117="",E117=""),"",RANK(E117,$E$2:$E$201))</f>
        <v/>
      </c>
    </row>
    <row r="118">
      <c r="A118" s="8">
        <f>IF(Applications!A118="","",Applications!A118)</f>
        <v/>
      </c>
      <c r="B118" s="8">
        <f>IF(Applications!A118="","",Applications!C118)</f>
        <v/>
      </c>
      <c r="C118" s="8">
        <f>IF(Applications!A118="","",Scoring!G234)</f>
        <v/>
      </c>
      <c r="D118" s="8">
        <f>IF(Applications!A118="","",Scoring!G235)</f>
        <v/>
      </c>
      <c r="E118" s="8">
        <f>IF(Applications!A118="","",IF(COUNT(C118:D118)=0,"",SUM(C118:D118)))</f>
        <v/>
      </c>
      <c r="F118" s="8">
        <f>IF(Applications!A118="","",SUM(Scoring!F234,Scoring!F235))</f>
        <v/>
      </c>
      <c r="G118" s="8">
        <f>IF(OR(Applications!A118="",E118=""),"",RANK(E118,$E$2:$E$201))</f>
        <v/>
      </c>
    </row>
    <row r="119">
      <c r="A119" s="8">
        <f>IF(Applications!A119="","",Applications!A119)</f>
        <v/>
      </c>
      <c r="B119" s="8">
        <f>IF(Applications!A119="","",Applications!C119)</f>
        <v/>
      </c>
      <c r="C119" s="8">
        <f>IF(Applications!A119="","",Scoring!G236)</f>
        <v/>
      </c>
      <c r="D119" s="8">
        <f>IF(Applications!A119="","",Scoring!G237)</f>
        <v/>
      </c>
      <c r="E119" s="8">
        <f>IF(Applications!A119="","",IF(COUNT(C119:D119)=0,"",SUM(C119:D119)))</f>
        <v/>
      </c>
      <c r="F119" s="8">
        <f>IF(Applications!A119="","",SUM(Scoring!F236,Scoring!F237))</f>
        <v/>
      </c>
      <c r="G119" s="8">
        <f>IF(OR(Applications!A119="",E119=""),"",RANK(E119,$E$2:$E$201))</f>
        <v/>
      </c>
    </row>
    <row r="120">
      <c r="A120" s="8">
        <f>IF(Applications!A120="","",Applications!A120)</f>
        <v/>
      </c>
      <c r="B120" s="8">
        <f>IF(Applications!A120="","",Applications!C120)</f>
        <v/>
      </c>
      <c r="C120" s="8">
        <f>IF(Applications!A120="","",Scoring!G238)</f>
        <v/>
      </c>
      <c r="D120" s="8">
        <f>IF(Applications!A120="","",Scoring!G239)</f>
        <v/>
      </c>
      <c r="E120" s="8">
        <f>IF(Applications!A120="","",IF(COUNT(C120:D120)=0,"",SUM(C120:D120)))</f>
        <v/>
      </c>
      <c r="F120" s="8">
        <f>IF(Applications!A120="","",SUM(Scoring!F238,Scoring!F239))</f>
        <v/>
      </c>
      <c r="G120" s="8">
        <f>IF(OR(Applications!A120="",E120=""),"",RANK(E120,$E$2:$E$201))</f>
        <v/>
      </c>
    </row>
    <row r="121">
      <c r="A121" s="8">
        <f>IF(Applications!A121="","",Applications!A121)</f>
        <v/>
      </c>
      <c r="B121" s="8">
        <f>IF(Applications!A121="","",Applications!C121)</f>
        <v/>
      </c>
      <c r="C121" s="8">
        <f>IF(Applications!A121="","",Scoring!G240)</f>
        <v/>
      </c>
      <c r="D121" s="8">
        <f>IF(Applications!A121="","",Scoring!G241)</f>
        <v/>
      </c>
      <c r="E121" s="8">
        <f>IF(Applications!A121="","",IF(COUNT(C121:D121)=0,"",SUM(C121:D121)))</f>
        <v/>
      </c>
      <c r="F121" s="8">
        <f>IF(Applications!A121="","",SUM(Scoring!F240,Scoring!F241))</f>
        <v/>
      </c>
      <c r="G121" s="8">
        <f>IF(OR(Applications!A121="",E121=""),"",RANK(E121,$E$2:$E$201))</f>
        <v/>
      </c>
    </row>
    <row r="122">
      <c r="A122" s="8">
        <f>IF(Applications!A122="","",Applications!A122)</f>
        <v/>
      </c>
      <c r="B122" s="8">
        <f>IF(Applications!A122="","",Applications!C122)</f>
        <v/>
      </c>
      <c r="C122" s="8">
        <f>IF(Applications!A122="","",Scoring!G242)</f>
        <v/>
      </c>
      <c r="D122" s="8">
        <f>IF(Applications!A122="","",Scoring!G243)</f>
        <v/>
      </c>
      <c r="E122" s="8">
        <f>IF(Applications!A122="","",IF(COUNT(C122:D122)=0,"",SUM(C122:D122)))</f>
        <v/>
      </c>
      <c r="F122" s="8">
        <f>IF(Applications!A122="","",SUM(Scoring!F242,Scoring!F243))</f>
        <v/>
      </c>
      <c r="G122" s="8">
        <f>IF(OR(Applications!A122="",E122=""),"",RANK(E122,$E$2:$E$201))</f>
        <v/>
      </c>
    </row>
    <row r="123">
      <c r="A123" s="8">
        <f>IF(Applications!A123="","",Applications!A123)</f>
        <v/>
      </c>
      <c r="B123" s="8">
        <f>IF(Applications!A123="","",Applications!C123)</f>
        <v/>
      </c>
      <c r="C123" s="8">
        <f>IF(Applications!A123="","",Scoring!G244)</f>
        <v/>
      </c>
      <c r="D123" s="8">
        <f>IF(Applications!A123="","",Scoring!G245)</f>
        <v/>
      </c>
      <c r="E123" s="8">
        <f>IF(Applications!A123="","",IF(COUNT(C123:D123)=0,"",SUM(C123:D123)))</f>
        <v/>
      </c>
      <c r="F123" s="8">
        <f>IF(Applications!A123="","",SUM(Scoring!F244,Scoring!F245))</f>
        <v/>
      </c>
      <c r="G123" s="8">
        <f>IF(OR(Applications!A123="",E123=""),"",RANK(E123,$E$2:$E$201))</f>
        <v/>
      </c>
    </row>
    <row r="124">
      <c r="A124" s="8">
        <f>IF(Applications!A124="","",Applications!A124)</f>
        <v/>
      </c>
      <c r="B124" s="8">
        <f>IF(Applications!A124="","",Applications!C124)</f>
        <v/>
      </c>
      <c r="C124" s="8">
        <f>IF(Applications!A124="","",Scoring!G246)</f>
        <v/>
      </c>
      <c r="D124" s="8">
        <f>IF(Applications!A124="","",Scoring!G247)</f>
        <v/>
      </c>
      <c r="E124" s="8">
        <f>IF(Applications!A124="","",IF(COUNT(C124:D124)=0,"",SUM(C124:D124)))</f>
        <v/>
      </c>
      <c r="F124" s="8">
        <f>IF(Applications!A124="","",SUM(Scoring!F246,Scoring!F247))</f>
        <v/>
      </c>
      <c r="G124" s="8">
        <f>IF(OR(Applications!A124="",E124=""),"",RANK(E124,$E$2:$E$201))</f>
        <v/>
      </c>
    </row>
    <row r="125">
      <c r="A125" s="8">
        <f>IF(Applications!A125="","",Applications!A125)</f>
        <v/>
      </c>
      <c r="B125" s="8">
        <f>IF(Applications!A125="","",Applications!C125)</f>
        <v/>
      </c>
      <c r="C125" s="8">
        <f>IF(Applications!A125="","",Scoring!G248)</f>
        <v/>
      </c>
      <c r="D125" s="8">
        <f>IF(Applications!A125="","",Scoring!G249)</f>
        <v/>
      </c>
      <c r="E125" s="8">
        <f>IF(Applications!A125="","",IF(COUNT(C125:D125)=0,"",SUM(C125:D125)))</f>
        <v/>
      </c>
      <c r="F125" s="8">
        <f>IF(Applications!A125="","",SUM(Scoring!F248,Scoring!F249))</f>
        <v/>
      </c>
      <c r="G125" s="8">
        <f>IF(OR(Applications!A125="",E125=""),"",RANK(E125,$E$2:$E$201))</f>
        <v/>
      </c>
    </row>
    <row r="126">
      <c r="A126" s="8">
        <f>IF(Applications!A126="","",Applications!A126)</f>
        <v/>
      </c>
      <c r="B126" s="8">
        <f>IF(Applications!A126="","",Applications!C126)</f>
        <v/>
      </c>
      <c r="C126" s="8">
        <f>IF(Applications!A126="","",Scoring!G250)</f>
        <v/>
      </c>
      <c r="D126" s="8">
        <f>IF(Applications!A126="","",Scoring!G251)</f>
        <v/>
      </c>
      <c r="E126" s="8">
        <f>IF(Applications!A126="","",IF(COUNT(C126:D126)=0,"",SUM(C126:D126)))</f>
        <v/>
      </c>
      <c r="F126" s="8">
        <f>IF(Applications!A126="","",SUM(Scoring!F250,Scoring!F251))</f>
        <v/>
      </c>
      <c r="G126" s="8">
        <f>IF(OR(Applications!A126="",E126=""),"",RANK(E126,$E$2:$E$201))</f>
        <v/>
      </c>
    </row>
    <row r="127">
      <c r="A127" s="8">
        <f>IF(Applications!A127="","",Applications!A127)</f>
        <v/>
      </c>
      <c r="B127" s="8">
        <f>IF(Applications!A127="","",Applications!C127)</f>
        <v/>
      </c>
      <c r="C127" s="8">
        <f>IF(Applications!A127="","",Scoring!G252)</f>
        <v/>
      </c>
      <c r="D127" s="8">
        <f>IF(Applications!A127="","",Scoring!G253)</f>
        <v/>
      </c>
      <c r="E127" s="8">
        <f>IF(Applications!A127="","",IF(COUNT(C127:D127)=0,"",SUM(C127:D127)))</f>
        <v/>
      </c>
      <c r="F127" s="8">
        <f>IF(Applications!A127="","",SUM(Scoring!F252,Scoring!F253))</f>
        <v/>
      </c>
      <c r="G127" s="8">
        <f>IF(OR(Applications!A127="",E127=""),"",RANK(E127,$E$2:$E$201))</f>
        <v/>
      </c>
    </row>
    <row r="128">
      <c r="A128" s="8">
        <f>IF(Applications!A128="","",Applications!A128)</f>
        <v/>
      </c>
      <c r="B128" s="8">
        <f>IF(Applications!A128="","",Applications!C128)</f>
        <v/>
      </c>
      <c r="C128" s="8">
        <f>IF(Applications!A128="","",Scoring!G254)</f>
        <v/>
      </c>
      <c r="D128" s="8">
        <f>IF(Applications!A128="","",Scoring!G255)</f>
        <v/>
      </c>
      <c r="E128" s="8">
        <f>IF(Applications!A128="","",IF(COUNT(C128:D128)=0,"",SUM(C128:D128)))</f>
        <v/>
      </c>
      <c r="F128" s="8">
        <f>IF(Applications!A128="","",SUM(Scoring!F254,Scoring!F255))</f>
        <v/>
      </c>
      <c r="G128" s="8">
        <f>IF(OR(Applications!A128="",E128=""),"",RANK(E128,$E$2:$E$201))</f>
        <v/>
      </c>
    </row>
    <row r="129">
      <c r="A129" s="8">
        <f>IF(Applications!A129="","",Applications!A129)</f>
        <v/>
      </c>
      <c r="B129" s="8">
        <f>IF(Applications!A129="","",Applications!C129)</f>
        <v/>
      </c>
      <c r="C129" s="8">
        <f>IF(Applications!A129="","",Scoring!G256)</f>
        <v/>
      </c>
      <c r="D129" s="8">
        <f>IF(Applications!A129="","",Scoring!G257)</f>
        <v/>
      </c>
      <c r="E129" s="8">
        <f>IF(Applications!A129="","",IF(COUNT(C129:D129)=0,"",SUM(C129:D129)))</f>
        <v/>
      </c>
      <c r="F129" s="8">
        <f>IF(Applications!A129="","",SUM(Scoring!F256,Scoring!F257))</f>
        <v/>
      </c>
      <c r="G129" s="8">
        <f>IF(OR(Applications!A129="",E129=""),"",RANK(E129,$E$2:$E$201))</f>
        <v/>
      </c>
    </row>
    <row r="130">
      <c r="A130" s="8">
        <f>IF(Applications!A130="","",Applications!A130)</f>
        <v/>
      </c>
      <c r="B130" s="8">
        <f>IF(Applications!A130="","",Applications!C130)</f>
        <v/>
      </c>
      <c r="C130" s="8">
        <f>IF(Applications!A130="","",Scoring!G258)</f>
        <v/>
      </c>
      <c r="D130" s="8">
        <f>IF(Applications!A130="","",Scoring!G259)</f>
        <v/>
      </c>
      <c r="E130" s="8">
        <f>IF(Applications!A130="","",IF(COUNT(C130:D130)=0,"",SUM(C130:D130)))</f>
        <v/>
      </c>
      <c r="F130" s="8">
        <f>IF(Applications!A130="","",SUM(Scoring!F258,Scoring!F259))</f>
        <v/>
      </c>
      <c r="G130" s="8">
        <f>IF(OR(Applications!A130="",E130=""),"",RANK(E130,$E$2:$E$201))</f>
        <v/>
      </c>
    </row>
    <row r="131">
      <c r="A131" s="8">
        <f>IF(Applications!A131="","",Applications!A131)</f>
        <v/>
      </c>
      <c r="B131" s="8">
        <f>IF(Applications!A131="","",Applications!C131)</f>
        <v/>
      </c>
      <c r="C131" s="8">
        <f>IF(Applications!A131="","",Scoring!G260)</f>
        <v/>
      </c>
      <c r="D131" s="8">
        <f>IF(Applications!A131="","",Scoring!G261)</f>
        <v/>
      </c>
      <c r="E131" s="8">
        <f>IF(Applications!A131="","",IF(COUNT(C131:D131)=0,"",SUM(C131:D131)))</f>
        <v/>
      </c>
      <c r="F131" s="8">
        <f>IF(Applications!A131="","",SUM(Scoring!F260,Scoring!F261))</f>
        <v/>
      </c>
      <c r="G131" s="8">
        <f>IF(OR(Applications!A131="",E131=""),"",RANK(E131,$E$2:$E$201))</f>
        <v/>
      </c>
    </row>
    <row r="132">
      <c r="A132" s="8">
        <f>IF(Applications!A132="","",Applications!A132)</f>
        <v/>
      </c>
      <c r="B132" s="8">
        <f>IF(Applications!A132="","",Applications!C132)</f>
        <v/>
      </c>
      <c r="C132" s="8">
        <f>IF(Applications!A132="","",Scoring!G262)</f>
        <v/>
      </c>
      <c r="D132" s="8">
        <f>IF(Applications!A132="","",Scoring!G263)</f>
        <v/>
      </c>
      <c r="E132" s="8">
        <f>IF(Applications!A132="","",IF(COUNT(C132:D132)=0,"",SUM(C132:D132)))</f>
        <v/>
      </c>
      <c r="F132" s="8">
        <f>IF(Applications!A132="","",SUM(Scoring!F262,Scoring!F263))</f>
        <v/>
      </c>
      <c r="G132" s="8">
        <f>IF(OR(Applications!A132="",E132=""),"",RANK(E132,$E$2:$E$201))</f>
        <v/>
      </c>
    </row>
    <row r="133">
      <c r="A133" s="8">
        <f>IF(Applications!A133="","",Applications!A133)</f>
        <v/>
      </c>
      <c r="B133" s="8">
        <f>IF(Applications!A133="","",Applications!C133)</f>
        <v/>
      </c>
      <c r="C133" s="8">
        <f>IF(Applications!A133="","",Scoring!G264)</f>
        <v/>
      </c>
      <c r="D133" s="8">
        <f>IF(Applications!A133="","",Scoring!G265)</f>
        <v/>
      </c>
      <c r="E133" s="8">
        <f>IF(Applications!A133="","",IF(COUNT(C133:D133)=0,"",SUM(C133:D133)))</f>
        <v/>
      </c>
      <c r="F133" s="8">
        <f>IF(Applications!A133="","",SUM(Scoring!F264,Scoring!F265))</f>
        <v/>
      </c>
      <c r="G133" s="8">
        <f>IF(OR(Applications!A133="",E133=""),"",RANK(E133,$E$2:$E$201))</f>
        <v/>
      </c>
    </row>
    <row r="134">
      <c r="A134" s="8">
        <f>IF(Applications!A134="","",Applications!A134)</f>
        <v/>
      </c>
      <c r="B134" s="8">
        <f>IF(Applications!A134="","",Applications!C134)</f>
        <v/>
      </c>
      <c r="C134" s="8">
        <f>IF(Applications!A134="","",Scoring!G266)</f>
        <v/>
      </c>
      <c r="D134" s="8">
        <f>IF(Applications!A134="","",Scoring!G267)</f>
        <v/>
      </c>
      <c r="E134" s="8">
        <f>IF(Applications!A134="","",IF(COUNT(C134:D134)=0,"",SUM(C134:D134)))</f>
        <v/>
      </c>
      <c r="F134" s="8">
        <f>IF(Applications!A134="","",SUM(Scoring!F266,Scoring!F267))</f>
        <v/>
      </c>
      <c r="G134" s="8">
        <f>IF(OR(Applications!A134="",E134=""),"",RANK(E134,$E$2:$E$201))</f>
        <v/>
      </c>
    </row>
    <row r="135">
      <c r="A135" s="8">
        <f>IF(Applications!A135="","",Applications!A135)</f>
        <v/>
      </c>
      <c r="B135" s="8">
        <f>IF(Applications!A135="","",Applications!C135)</f>
        <v/>
      </c>
      <c r="C135" s="8">
        <f>IF(Applications!A135="","",Scoring!G268)</f>
        <v/>
      </c>
      <c r="D135" s="8">
        <f>IF(Applications!A135="","",Scoring!G269)</f>
        <v/>
      </c>
      <c r="E135" s="8">
        <f>IF(Applications!A135="","",IF(COUNT(C135:D135)=0,"",SUM(C135:D135)))</f>
        <v/>
      </c>
      <c r="F135" s="8">
        <f>IF(Applications!A135="","",SUM(Scoring!F268,Scoring!F269))</f>
        <v/>
      </c>
      <c r="G135" s="8">
        <f>IF(OR(Applications!A135="",E135=""),"",RANK(E135,$E$2:$E$201))</f>
        <v/>
      </c>
    </row>
    <row r="136">
      <c r="A136" s="8">
        <f>IF(Applications!A136="","",Applications!A136)</f>
        <v/>
      </c>
      <c r="B136" s="8">
        <f>IF(Applications!A136="","",Applications!C136)</f>
        <v/>
      </c>
      <c r="C136" s="8">
        <f>IF(Applications!A136="","",Scoring!G270)</f>
        <v/>
      </c>
      <c r="D136" s="8">
        <f>IF(Applications!A136="","",Scoring!G271)</f>
        <v/>
      </c>
      <c r="E136" s="8">
        <f>IF(Applications!A136="","",IF(COUNT(C136:D136)=0,"",SUM(C136:D136)))</f>
        <v/>
      </c>
      <c r="F136" s="8">
        <f>IF(Applications!A136="","",SUM(Scoring!F270,Scoring!F271))</f>
        <v/>
      </c>
      <c r="G136" s="8">
        <f>IF(OR(Applications!A136="",E136=""),"",RANK(E136,$E$2:$E$201))</f>
        <v/>
      </c>
    </row>
    <row r="137">
      <c r="A137" s="8">
        <f>IF(Applications!A137="","",Applications!A137)</f>
        <v/>
      </c>
      <c r="B137" s="8">
        <f>IF(Applications!A137="","",Applications!C137)</f>
        <v/>
      </c>
      <c r="C137" s="8">
        <f>IF(Applications!A137="","",Scoring!G272)</f>
        <v/>
      </c>
      <c r="D137" s="8">
        <f>IF(Applications!A137="","",Scoring!G273)</f>
        <v/>
      </c>
      <c r="E137" s="8">
        <f>IF(Applications!A137="","",IF(COUNT(C137:D137)=0,"",SUM(C137:D137)))</f>
        <v/>
      </c>
      <c r="F137" s="8">
        <f>IF(Applications!A137="","",SUM(Scoring!F272,Scoring!F273))</f>
        <v/>
      </c>
      <c r="G137" s="8">
        <f>IF(OR(Applications!A137="",E137=""),"",RANK(E137,$E$2:$E$201))</f>
        <v/>
      </c>
    </row>
    <row r="138">
      <c r="A138" s="8">
        <f>IF(Applications!A138="","",Applications!A138)</f>
        <v/>
      </c>
      <c r="B138" s="8">
        <f>IF(Applications!A138="","",Applications!C138)</f>
        <v/>
      </c>
      <c r="C138" s="8">
        <f>IF(Applications!A138="","",Scoring!G274)</f>
        <v/>
      </c>
      <c r="D138" s="8">
        <f>IF(Applications!A138="","",Scoring!G275)</f>
        <v/>
      </c>
      <c r="E138" s="8">
        <f>IF(Applications!A138="","",IF(COUNT(C138:D138)=0,"",SUM(C138:D138)))</f>
        <v/>
      </c>
      <c r="F138" s="8">
        <f>IF(Applications!A138="","",SUM(Scoring!F274,Scoring!F275))</f>
        <v/>
      </c>
      <c r="G138" s="8">
        <f>IF(OR(Applications!A138="",E138=""),"",RANK(E138,$E$2:$E$201))</f>
        <v/>
      </c>
    </row>
    <row r="139">
      <c r="A139" s="8">
        <f>IF(Applications!A139="","",Applications!A139)</f>
        <v/>
      </c>
      <c r="B139" s="8">
        <f>IF(Applications!A139="","",Applications!C139)</f>
        <v/>
      </c>
      <c r="C139" s="8">
        <f>IF(Applications!A139="","",Scoring!G276)</f>
        <v/>
      </c>
      <c r="D139" s="8">
        <f>IF(Applications!A139="","",Scoring!G277)</f>
        <v/>
      </c>
      <c r="E139" s="8">
        <f>IF(Applications!A139="","",IF(COUNT(C139:D139)=0,"",SUM(C139:D139)))</f>
        <v/>
      </c>
      <c r="F139" s="8">
        <f>IF(Applications!A139="","",SUM(Scoring!F276,Scoring!F277))</f>
        <v/>
      </c>
      <c r="G139" s="8">
        <f>IF(OR(Applications!A139="",E139=""),"",RANK(E139,$E$2:$E$201))</f>
        <v/>
      </c>
    </row>
    <row r="140">
      <c r="A140" s="8">
        <f>IF(Applications!A140="","",Applications!A140)</f>
        <v/>
      </c>
      <c r="B140" s="8">
        <f>IF(Applications!A140="","",Applications!C140)</f>
        <v/>
      </c>
      <c r="C140" s="8">
        <f>IF(Applications!A140="","",Scoring!G278)</f>
        <v/>
      </c>
      <c r="D140" s="8">
        <f>IF(Applications!A140="","",Scoring!G279)</f>
        <v/>
      </c>
      <c r="E140" s="8">
        <f>IF(Applications!A140="","",IF(COUNT(C140:D140)=0,"",SUM(C140:D140)))</f>
        <v/>
      </c>
      <c r="F140" s="8">
        <f>IF(Applications!A140="","",SUM(Scoring!F278,Scoring!F279))</f>
        <v/>
      </c>
      <c r="G140" s="8">
        <f>IF(OR(Applications!A140="",E140=""),"",RANK(E140,$E$2:$E$201))</f>
        <v/>
      </c>
    </row>
    <row r="141">
      <c r="A141" s="8">
        <f>IF(Applications!A141="","",Applications!A141)</f>
        <v/>
      </c>
      <c r="B141" s="8">
        <f>IF(Applications!A141="","",Applications!C141)</f>
        <v/>
      </c>
      <c r="C141" s="8">
        <f>IF(Applications!A141="","",Scoring!G280)</f>
        <v/>
      </c>
      <c r="D141" s="8">
        <f>IF(Applications!A141="","",Scoring!G281)</f>
        <v/>
      </c>
      <c r="E141" s="8">
        <f>IF(Applications!A141="","",IF(COUNT(C141:D141)=0,"",SUM(C141:D141)))</f>
        <v/>
      </c>
      <c r="F141" s="8">
        <f>IF(Applications!A141="","",SUM(Scoring!F280,Scoring!F281))</f>
        <v/>
      </c>
      <c r="G141" s="8">
        <f>IF(OR(Applications!A141="",E141=""),"",RANK(E141,$E$2:$E$201))</f>
        <v/>
      </c>
    </row>
    <row r="142">
      <c r="A142" s="8">
        <f>IF(Applications!A142="","",Applications!A142)</f>
        <v/>
      </c>
      <c r="B142" s="8">
        <f>IF(Applications!A142="","",Applications!C142)</f>
        <v/>
      </c>
      <c r="C142" s="8">
        <f>IF(Applications!A142="","",Scoring!G282)</f>
        <v/>
      </c>
      <c r="D142" s="8">
        <f>IF(Applications!A142="","",Scoring!G283)</f>
        <v/>
      </c>
      <c r="E142" s="8">
        <f>IF(Applications!A142="","",IF(COUNT(C142:D142)=0,"",SUM(C142:D142)))</f>
        <v/>
      </c>
      <c r="F142" s="8">
        <f>IF(Applications!A142="","",SUM(Scoring!F282,Scoring!F283))</f>
        <v/>
      </c>
      <c r="G142" s="8">
        <f>IF(OR(Applications!A142="",E142=""),"",RANK(E142,$E$2:$E$201))</f>
        <v/>
      </c>
    </row>
    <row r="143">
      <c r="A143" s="8">
        <f>IF(Applications!A143="","",Applications!A143)</f>
        <v/>
      </c>
      <c r="B143" s="8">
        <f>IF(Applications!A143="","",Applications!C143)</f>
        <v/>
      </c>
      <c r="C143" s="8">
        <f>IF(Applications!A143="","",Scoring!G284)</f>
        <v/>
      </c>
      <c r="D143" s="8">
        <f>IF(Applications!A143="","",Scoring!G285)</f>
        <v/>
      </c>
      <c r="E143" s="8">
        <f>IF(Applications!A143="","",IF(COUNT(C143:D143)=0,"",SUM(C143:D143)))</f>
        <v/>
      </c>
      <c r="F143" s="8">
        <f>IF(Applications!A143="","",SUM(Scoring!F284,Scoring!F285))</f>
        <v/>
      </c>
      <c r="G143" s="8">
        <f>IF(OR(Applications!A143="",E143=""),"",RANK(E143,$E$2:$E$201))</f>
        <v/>
      </c>
    </row>
    <row r="144">
      <c r="A144" s="8">
        <f>IF(Applications!A144="","",Applications!A144)</f>
        <v/>
      </c>
      <c r="B144" s="8">
        <f>IF(Applications!A144="","",Applications!C144)</f>
        <v/>
      </c>
      <c r="C144" s="8">
        <f>IF(Applications!A144="","",Scoring!G286)</f>
        <v/>
      </c>
      <c r="D144" s="8">
        <f>IF(Applications!A144="","",Scoring!G287)</f>
        <v/>
      </c>
      <c r="E144" s="8">
        <f>IF(Applications!A144="","",IF(COUNT(C144:D144)=0,"",SUM(C144:D144)))</f>
        <v/>
      </c>
      <c r="F144" s="8">
        <f>IF(Applications!A144="","",SUM(Scoring!F286,Scoring!F287))</f>
        <v/>
      </c>
      <c r="G144" s="8">
        <f>IF(OR(Applications!A144="",E144=""),"",RANK(E144,$E$2:$E$201))</f>
        <v/>
      </c>
    </row>
    <row r="145">
      <c r="A145" s="8">
        <f>IF(Applications!A145="","",Applications!A145)</f>
        <v/>
      </c>
      <c r="B145" s="8">
        <f>IF(Applications!A145="","",Applications!C145)</f>
        <v/>
      </c>
      <c r="C145" s="8">
        <f>IF(Applications!A145="","",Scoring!G288)</f>
        <v/>
      </c>
      <c r="D145" s="8">
        <f>IF(Applications!A145="","",Scoring!G289)</f>
        <v/>
      </c>
      <c r="E145" s="8">
        <f>IF(Applications!A145="","",IF(COUNT(C145:D145)=0,"",SUM(C145:D145)))</f>
        <v/>
      </c>
      <c r="F145" s="8">
        <f>IF(Applications!A145="","",SUM(Scoring!F288,Scoring!F289))</f>
        <v/>
      </c>
      <c r="G145" s="8">
        <f>IF(OR(Applications!A145="",E145=""),"",RANK(E145,$E$2:$E$201))</f>
        <v/>
      </c>
    </row>
    <row r="146">
      <c r="A146" s="8">
        <f>IF(Applications!A146="","",Applications!A146)</f>
        <v/>
      </c>
      <c r="B146" s="8">
        <f>IF(Applications!A146="","",Applications!C146)</f>
        <v/>
      </c>
      <c r="C146" s="8">
        <f>IF(Applications!A146="","",Scoring!G290)</f>
        <v/>
      </c>
      <c r="D146" s="8">
        <f>IF(Applications!A146="","",Scoring!G291)</f>
        <v/>
      </c>
      <c r="E146" s="8">
        <f>IF(Applications!A146="","",IF(COUNT(C146:D146)=0,"",SUM(C146:D146)))</f>
        <v/>
      </c>
      <c r="F146" s="8">
        <f>IF(Applications!A146="","",SUM(Scoring!F290,Scoring!F291))</f>
        <v/>
      </c>
      <c r="G146" s="8">
        <f>IF(OR(Applications!A146="",E146=""),"",RANK(E146,$E$2:$E$201))</f>
        <v/>
      </c>
    </row>
    <row r="147">
      <c r="A147" s="8">
        <f>IF(Applications!A147="","",Applications!A147)</f>
        <v/>
      </c>
      <c r="B147" s="8">
        <f>IF(Applications!A147="","",Applications!C147)</f>
        <v/>
      </c>
      <c r="C147" s="8">
        <f>IF(Applications!A147="","",Scoring!G292)</f>
        <v/>
      </c>
      <c r="D147" s="8">
        <f>IF(Applications!A147="","",Scoring!G293)</f>
        <v/>
      </c>
      <c r="E147" s="8">
        <f>IF(Applications!A147="","",IF(COUNT(C147:D147)=0,"",SUM(C147:D147)))</f>
        <v/>
      </c>
      <c r="F147" s="8">
        <f>IF(Applications!A147="","",SUM(Scoring!F292,Scoring!F293))</f>
        <v/>
      </c>
      <c r="G147" s="8">
        <f>IF(OR(Applications!A147="",E147=""),"",RANK(E147,$E$2:$E$201))</f>
        <v/>
      </c>
    </row>
    <row r="148">
      <c r="A148" s="8">
        <f>IF(Applications!A148="","",Applications!A148)</f>
        <v/>
      </c>
      <c r="B148" s="8">
        <f>IF(Applications!A148="","",Applications!C148)</f>
        <v/>
      </c>
      <c r="C148" s="8">
        <f>IF(Applications!A148="","",Scoring!G294)</f>
        <v/>
      </c>
      <c r="D148" s="8">
        <f>IF(Applications!A148="","",Scoring!G295)</f>
        <v/>
      </c>
      <c r="E148" s="8">
        <f>IF(Applications!A148="","",IF(COUNT(C148:D148)=0,"",SUM(C148:D148)))</f>
        <v/>
      </c>
      <c r="F148" s="8">
        <f>IF(Applications!A148="","",SUM(Scoring!F294,Scoring!F295))</f>
        <v/>
      </c>
      <c r="G148" s="8">
        <f>IF(OR(Applications!A148="",E148=""),"",RANK(E148,$E$2:$E$201))</f>
        <v/>
      </c>
    </row>
    <row r="149">
      <c r="A149" s="8">
        <f>IF(Applications!A149="","",Applications!A149)</f>
        <v/>
      </c>
      <c r="B149" s="8">
        <f>IF(Applications!A149="","",Applications!C149)</f>
        <v/>
      </c>
      <c r="C149" s="8">
        <f>IF(Applications!A149="","",Scoring!G296)</f>
        <v/>
      </c>
      <c r="D149" s="8">
        <f>IF(Applications!A149="","",Scoring!G297)</f>
        <v/>
      </c>
      <c r="E149" s="8">
        <f>IF(Applications!A149="","",IF(COUNT(C149:D149)=0,"",SUM(C149:D149)))</f>
        <v/>
      </c>
      <c r="F149" s="8">
        <f>IF(Applications!A149="","",SUM(Scoring!F296,Scoring!F297))</f>
        <v/>
      </c>
      <c r="G149" s="8">
        <f>IF(OR(Applications!A149="",E149=""),"",RANK(E149,$E$2:$E$201))</f>
        <v/>
      </c>
    </row>
    <row r="150">
      <c r="A150" s="8">
        <f>IF(Applications!A150="","",Applications!A150)</f>
        <v/>
      </c>
      <c r="B150" s="8">
        <f>IF(Applications!A150="","",Applications!C150)</f>
        <v/>
      </c>
      <c r="C150" s="8">
        <f>IF(Applications!A150="","",Scoring!G298)</f>
        <v/>
      </c>
      <c r="D150" s="8">
        <f>IF(Applications!A150="","",Scoring!G299)</f>
        <v/>
      </c>
      <c r="E150" s="8">
        <f>IF(Applications!A150="","",IF(COUNT(C150:D150)=0,"",SUM(C150:D150)))</f>
        <v/>
      </c>
      <c r="F150" s="8">
        <f>IF(Applications!A150="","",SUM(Scoring!F298,Scoring!F299))</f>
        <v/>
      </c>
      <c r="G150" s="8">
        <f>IF(OR(Applications!A150="",E150=""),"",RANK(E150,$E$2:$E$201))</f>
        <v/>
      </c>
    </row>
    <row r="151">
      <c r="A151" s="8">
        <f>IF(Applications!A151="","",Applications!A151)</f>
        <v/>
      </c>
      <c r="B151" s="8">
        <f>IF(Applications!A151="","",Applications!C151)</f>
        <v/>
      </c>
      <c r="C151" s="8">
        <f>IF(Applications!A151="","",Scoring!G300)</f>
        <v/>
      </c>
      <c r="D151" s="8">
        <f>IF(Applications!A151="","",Scoring!G301)</f>
        <v/>
      </c>
      <c r="E151" s="8">
        <f>IF(Applications!A151="","",IF(COUNT(C151:D151)=0,"",SUM(C151:D151)))</f>
        <v/>
      </c>
      <c r="F151" s="8">
        <f>IF(Applications!A151="","",SUM(Scoring!F300,Scoring!F301))</f>
        <v/>
      </c>
      <c r="G151" s="8">
        <f>IF(OR(Applications!A151="",E151=""),"",RANK(E151,$E$2:$E$201))</f>
        <v/>
      </c>
    </row>
    <row r="152">
      <c r="A152" s="8">
        <f>IF(Applications!A152="","",Applications!A152)</f>
        <v/>
      </c>
      <c r="B152" s="8">
        <f>IF(Applications!A152="","",Applications!C152)</f>
        <v/>
      </c>
      <c r="C152" s="8">
        <f>IF(Applications!A152="","",Scoring!G302)</f>
        <v/>
      </c>
      <c r="D152" s="8">
        <f>IF(Applications!A152="","",Scoring!G303)</f>
        <v/>
      </c>
      <c r="E152" s="8">
        <f>IF(Applications!A152="","",IF(COUNT(C152:D152)=0,"",SUM(C152:D152)))</f>
        <v/>
      </c>
      <c r="F152" s="8">
        <f>IF(Applications!A152="","",SUM(Scoring!F302,Scoring!F303))</f>
        <v/>
      </c>
      <c r="G152" s="8">
        <f>IF(OR(Applications!A152="",E152=""),"",RANK(E152,$E$2:$E$201))</f>
        <v/>
      </c>
    </row>
    <row r="153">
      <c r="A153" s="8">
        <f>IF(Applications!A153="","",Applications!A153)</f>
        <v/>
      </c>
      <c r="B153" s="8">
        <f>IF(Applications!A153="","",Applications!C153)</f>
        <v/>
      </c>
      <c r="C153" s="8">
        <f>IF(Applications!A153="","",Scoring!G304)</f>
        <v/>
      </c>
      <c r="D153" s="8">
        <f>IF(Applications!A153="","",Scoring!G305)</f>
        <v/>
      </c>
      <c r="E153" s="8">
        <f>IF(Applications!A153="","",IF(COUNT(C153:D153)=0,"",SUM(C153:D153)))</f>
        <v/>
      </c>
      <c r="F153" s="8">
        <f>IF(Applications!A153="","",SUM(Scoring!F304,Scoring!F305))</f>
        <v/>
      </c>
      <c r="G153" s="8">
        <f>IF(OR(Applications!A153="",E153=""),"",RANK(E153,$E$2:$E$201))</f>
        <v/>
      </c>
    </row>
    <row r="154">
      <c r="A154" s="8">
        <f>IF(Applications!A154="","",Applications!A154)</f>
        <v/>
      </c>
      <c r="B154" s="8">
        <f>IF(Applications!A154="","",Applications!C154)</f>
        <v/>
      </c>
      <c r="C154" s="8">
        <f>IF(Applications!A154="","",Scoring!G306)</f>
        <v/>
      </c>
      <c r="D154" s="8">
        <f>IF(Applications!A154="","",Scoring!G307)</f>
        <v/>
      </c>
      <c r="E154" s="8">
        <f>IF(Applications!A154="","",IF(COUNT(C154:D154)=0,"",SUM(C154:D154)))</f>
        <v/>
      </c>
      <c r="F154" s="8">
        <f>IF(Applications!A154="","",SUM(Scoring!F306,Scoring!F307))</f>
        <v/>
      </c>
      <c r="G154" s="8">
        <f>IF(OR(Applications!A154="",E154=""),"",RANK(E154,$E$2:$E$201))</f>
        <v/>
      </c>
    </row>
    <row r="155">
      <c r="A155" s="8">
        <f>IF(Applications!A155="","",Applications!A155)</f>
        <v/>
      </c>
      <c r="B155" s="8">
        <f>IF(Applications!A155="","",Applications!C155)</f>
        <v/>
      </c>
      <c r="C155" s="8">
        <f>IF(Applications!A155="","",Scoring!G308)</f>
        <v/>
      </c>
      <c r="D155" s="8">
        <f>IF(Applications!A155="","",Scoring!G309)</f>
        <v/>
      </c>
      <c r="E155" s="8">
        <f>IF(Applications!A155="","",IF(COUNT(C155:D155)=0,"",SUM(C155:D155)))</f>
        <v/>
      </c>
      <c r="F155" s="8">
        <f>IF(Applications!A155="","",SUM(Scoring!F308,Scoring!F309))</f>
        <v/>
      </c>
      <c r="G155" s="8">
        <f>IF(OR(Applications!A155="",E155=""),"",RANK(E155,$E$2:$E$201))</f>
        <v/>
      </c>
    </row>
    <row r="156">
      <c r="A156" s="8">
        <f>IF(Applications!A156="","",Applications!A156)</f>
        <v/>
      </c>
      <c r="B156" s="8">
        <f>IF(Applications!A156="","",Applications!C156)</f>
        <v/>
      </c>
      <c r="C156" s="8">
        <f>IF(Applications!A156="","",Scoring!G310)</f>
        <v/>
      </c>
      <c r="D156" s="8">
        <f>IF(Applications!A156="","",Scoring!G311)</f>
        <v/>
      </c>
      <c r="E156" s="8">
        <f>IF(Applications!A156="","",IF(COUNT(C156:D156)=0,"",SUM(C156:D156)))</f>
        <v/>
      </c>
      <c r="F156" s="8">
        <f>IF(Applications!A156="","",SUM(Scoring!F310,Scoring!F311))</f>
        <v/>
      </c>
      <c r="G156" s="8">
        <f>IF(OR(Applications!A156="",E156=""),"",RANK(E156,$E$2:$E$201))</f>
        <v/>
      </c>
    </row>
    <row r="157">
      <c r="A157" s="8">
        <f>IF(Applications!A157="","",Applications!A157)</f>
        <v/>
      </c>
      <c r="B157" s="8">
        <f>IF(Applications!A157="","",Applications!C157)</f>
        <v/>
      </c>
      <c r="C157" s="8">
        <f>IF(Applications!A157="","",Scoring!G312)</f>
        <v/>
      </c>
      <c r="D157" s="8">
        <f>IF(Applications!A157="","",Scoring!G313)</f>
        <v/>
      </c>
      <c r="E157" s="8">
        <f>IF(Applications!A157="","",IF(COUNT(C157:D157)=0,"",SUM(C157:D157)))</f>
        <v/>
      </c>
      <c r="F157" s="8">
        <f>IF(Applications!A157="","",SUM(Scoring!F312,Scoring!F313))</f>
        <v/>
      </c>
      <c r="G157" s="8">
        <f>IF(OR(Applications!A157="",E157=""),"",RANK(E157,$E$2:$E$201))</f>
        <v/>
      </c>
    </row>
    <row r="158">
      <c r="A158" s="8">
        <f>IF(Applications!A158="","",Applications!A158)</f>
        <v/>
      </c>
      <c r="B158" s="8">
        <f>IF(Applications!A158="","",Applications!C158)</f>
        <v/>
      </c>
      <c r="C158" s="8">
        <f>IF(Applications!A158="","",Scoring!G314)</f>
        <v/>
      </c>
      <c r="D158" s="8">
        <f>IF(Applications!A158="","",Scoring!G315)</f>
        <v/>
      </c>
      <c r="E158" s="8">
        <f>IF(Applications!A158="","",IF(COUNT(C158:D158)=0,"",SUM(C158:D158)))</f>
        <v/>
      </c>
      <c r="F158" s="8">
        <f>IF(Applications!A158="","",SUM(Scoring!F314,Scoring!F315))</f>
        <v/>
      </c>
      <c r="G158" s="8">
        <f>IF(OR(Applications!A158="",E158=""),"",RANK(E158,$E$2:$E$201))</f>
        <v/>
      </c>
    </row>
    <row r="159">
      <c r="A159" s="8">
        <f>IF(Applications!A159="","",Applications!A159)</f>
        <v/>
      </c>
      <c r="B159" s="8">
        <f>IF(Applications!A159="","",Applications!C159)</f>
        <v/>
      </c>
      <c r="C159" s="8">
        <f>IF(Applications!A159="","",Scoring!G316)</f>
        <v/>
      </c>
      <c r="D159" s="8">
        <f>IF(Applications!A159="","",Scoring!G317)</f>
        <v/>
      </c>
      <c r="E159" s="8">
        <f>IF(Applications!A159="","",IF(COUNT(C159:D159)=0,"",SUM(C159:D159)))</f>
        <v/>
      </c>
      <c r="F159" s="8">
        <f>IF(Applications!A159="","",SUM(Scoring!F316,Scoring!F317))</f>
        <v/>
      </c>
      <c r="G159" s="8">
        <f>IF(OR(Applications!A159="",E159=""),"",RANK(E159,$E$2:$E$201))</f>
        <v/>
      </c>
    </row>
    <row r="160">
      <c r="A160" s="8">
        <f>IF(Applications!A160="","",Applications!A160)</f>
        <v/>
      </c>
      <c r="B160" s="8">
        <f>IF(Applications!A160="","",Applications!C160)</f>
        <v/>
      </c>
      <c r="C160" s="8">
        <f>IF(Applications!A160="","",Scoring!G318)</f>
        <v/>
      </c>
      <c r="D160" s="8">
        <f>IF(Applications!A160="","",Scoring!G319)</f>
        <v/>
      </c>
      <c r="E160" s="8">
        <f>IF(Applications!A160="","",IF(COUNT(C160:D160)=0,"",SUM(C160:D160)))</f>
        <v/>
      </c>
      <c r="F160" s="8">
        <f>IF(Applications!A160="","",SUM(Scoring!F318,Scoring!F319))</f>
        <v/>
      </c>
      <c r="G160" s="8">
        <f>IF(OR(Applications!A160="",E160=""),"",RANK(E160,$E$2:$E$201))</f>
        <v/>
      </c>
    </row>
    <row r="161">
      <c r="A161" s="8">
        <f>IF(Applications!A161="","",Applications!A161)</f>
        <v/>
      </c>
      <c r="B161" s="8">
        <f>IF(Applications!A161="","",Applications!C161)</f>
        <v/>
      </c>
      <c r="C161" s="8">
        <f>IF(Applications!A161="","",Scoring!G320)</f>
        <v/>
      </c>
      <c r="D161" s="8">
        <f>IF(Applications!A161="","",Scoring!G321)</f>
        <v/>
      </c>
      <c r="E161" s="8">
        <f>IF(Applications!A161="","",IF(COUNT(C161:D161)=0,"",SUM(C161:D161)))</f>
        <v/>
      </c>
      <c r="F161" s="8">
        <f>IF(Applications!A161="","",SUM(Scoring!F320,Scoring!F321))</f>
        <v/>
      </c>
      <c r="G161" s="8">
        <f>IF(OR(Applications!A161="",E161=""),"",RANK(E161,$E$2:$E$201))</f>
        <v/>
      </c>
    </row>
    <row r="162">
      <c r="A162" s="8">
        <f>IF(Applications!A162="","",Applications!A162)</f>
        <v/>
      </c>
      <c r="B162" s="8">
        <f>IF(Applications!A162="","",Applications!C162)</f>
        <v/>
      </c>
      <c r="C162" s="8">
        <f>IF(Applications!A162="","",Scoring!G322)</f>
        <v/>
      </c>
      <c r="D162" s="8">
        <f>IF(Applications!A162="","",Scoring!G323)</f>
        <v/>
      </c>
      <c r="E162" s="8">
        <f>IF(Applications!A162="","",IF(COUNT(C162:D162)=0,"",SUM(C162:D162)))</f>
        <v/>
      </c>
      <c r="F162" s="8">
        <f>IF(Applications!A162="","",SUM(Scoring!F322,Scoring!F323))</f>
        <v/>
      </c>
      <c r="G162" s="8">
        <f>IF(OR(Applications!A162="",E162=""),"",RANK(E162,$E$2:$E$201))</f>
        <v/>
      </c>
    </row>
    <row r="163">
      <c r="A163" s="8">
        <f>IF(Applications!A163="","",Applications!A163)</f>
        <v/>
      </c>
      <c r="B163" s="8">
        <f>IF(Applications!A163="","",Applications!C163)</f>
        <v/>
      </c>
      <c r="C163" s="8">
        <f>IF(Applications!A163="","",Scoring!G324)</f>
        <v/>
      </c>
      <c r="D163" s="8">
        <f>IF(Applications!A163="","",Scoring!G325)</f>
        <v/>
      </c>
      <c r="E163" s="8">
        <f>IF(Applications!A163="","",IF(COUNT(C163:D163)=0,"",SUM(C163:D163)))</f>
        <v/>
      </c>
      <c r="F163" s="8">
        <f>IF(Applications!A163="","",SUM(Scoring!F324,Scoring!F325))</f>
        <v/>
      </c>
      <c r="G163" s="8">
        <f>IF(OR(Applications!A163="",E163=""),"",RANK(E163,$E$2:$E$201))</f>
        <v/>
      </c>
    </row>
    <row r="164">
      <c r="A164" s="8">
        <f>IF(Applications!A164="","",Applications!A164)</f>
        <v/>
      </c>
      <c r="B164" s="8">
        <f>IF(Applications!A164="","",Applications!C164)</f>
        <v/>
      </c>
      <c r="C164" s="8">
        <f>IF(Applications!A164="","",Scoring!G326)</f>
        <v/>
      </c>
      <c r="D164" s="8">
        <f>IF(Applications!A164="","",Scoring!G327)</f>
        <v/>
      </c>
      <c r="E164" s="8">
        <f>IF(Applications!A164="","",IF(COUNT(C164:D164)=0,"",SUM(C164:D164)))</f>
        <v/>
      </c>
      <c r="F164" s="8">
        <f>IF(Applications!A164="","",SUM(Scoring!F326,Scoring!F327))</f>
        <v/>
      </c>
      <c r="G164" s="8">
        <f>IF(OR(Applications!A164="",E164=""),"",RANK(E164,$E$2:$E$201))</f>
        <v/>
      </c>
    </row>
    <row r="165">
      <c r="A165" s="8">
        <f>IF(Applications!A165="","",Applications!A165)</f>
        <v/>
      </c>
      <c r="B165" s="8">
        <f>IF(Applications!A165="","",Applications!C165)</f>
        <v/>
      </c>
      <c r="C165" s="8">
        <f>IF(Applications!A165="","",Scoring!G328)</f>
        <v/>
      </c>
      <c r="D165" s="8">
        <f>IF(Applications!A165="","",Scoring!G329)</f>
        <v/>
      </c>
      <c r="E165" s="8">
        <f>IF(Applications!A165="","",IF(COUNT(C165:D165)=0,"",SUM(C165:D165)))</f>
        <v/>
      </c>
      <c r="F165" s="8">
        <f>IF(Applications!A165="","",SUM(Scoring!F328,Scoring!F329))</f>
        <v/>
      </c>
      <c r="G165" s="8">
        <f>IF(OR(Applications!A165="",E165=""),"",RANK(E165,$E$2:$E$201))</f>
        <v/>
      </c>
    </row>
    <row r="166">
      <c r="A166" s="8">
        <f>IF(Applications!A166="","",Applications!A166)</f>
        <v/>
      </c>
      <c r="B166" s="8">
        <f>IF(Applications!A166="","",Applications!C166)</f>
        <v/>
      </c>
      <c r="C166" s="8">
        <f>IF(Applications!A166="","",Scoring!G330)</f>
        <v/>
      </c>
      <c r="D166" s="8">
        <f>IF(Applications!A166="","",Scoring!G331)</f>
        <v/>
      </c>
      <c r="E166" s="8">
        <f>IF(Applications!A166="","",IF(COUNT(C166:D166)=0,"",SUM(C166:D166)))</f>
        <v/>
      </c>
      <c r="F166" s="8">
        <f>IF(Applications!A166="","",SUM(Scoring!F330,Scoring!F331))</f>
        <v/>
      </c>
      <c r="G166" s="8">
        <f>IF(OR(Applications!A166="",E166=""),"",RANK(E166,$E$2:$E$201))</f>
        <v/>
      </c>
    </row>
    <row r="167">
      <c r="A167" s="8">
        <f>IF(Applications!A167="","",Applications!A167)</f>
        <v/>
      </c>
      <c r="B167" s="8">
        <f>IF(Applications!A167="","",Applications!C167)</f>
        <v/>
      </c>
      <c r="C167" s="8">
        <f>IF(Applications!A167="","",Scoring!G332)</f>
        <v/>
      </c>
      <c r="D167" s="8">
        <f>IF(Applications!A167="","",Scoring!G333)</f>
        <v/>
      </c>
      <c r="E167" s="8">
        <f>IF(Applications!A167="","",IF(COUNT(C167:D167)=0,"",SUM(C167:D167)))</f>
        <v/>
      </c>
      <c r="F167" s="8">
        <f>IF(Applications!A167="","",SUM(Scoring!F332,Scoring!F333))</f>
        <v/>
      </c>
      <c r="G167" s="8">
        <f>IF(OR(Applications!A167="",E167=""),"",RANK(E167,$E$2:$E$201))</f>
        <v/>
      </c>
    </row>
    <row r="168">
      <c r="A168" s="8">
        <f>IF(Applications!A168="","",Applications!A168)</f>
        <v/>
      </c>
      <c r="B168" s="8">
        <f>IF(Applications!A168="","",Applications!C168)</f>
        <v/>
      </c>
      <c r="C168" s="8">
        <f>IF(Applications!A168="","",Scoring!G334)</f>
        <v/>
      </c>
      <c r="D168" s="8">
        <f>IF(Applications!A168="","",Scoring!G335)</f>
        <v/>
      </c>
      <c r="E168" s="8">
        <f>IF(Applications!A168="","",IF(COUNT(C168:D168)=0,"",SUM(C168:D168)))</f>
        <v/>
      </c>
      <c r="F168" s="8">
        <f>IF(Applications!A168="","",SUM(Scoring!F334,Scoring!F335))</f>
        <v/>
      </c>
      <c r="G168" s="8">
        <f>IF(OR(Applications!A168="",E168=""),"",RANK(E168,$E$2:$E$201))</f>
        <v/>
      </c>
    </row>
    <row r="169">
      <c r="A169" s="8">
        <f>IF(Applications!A169="","",Applications!A169)</f>
        <v/>
      </c>
      <c r="B169" s="8">
        <f>IF(Applications!A169="","",Applications!C169)</f>
        <v/>
      </c>
      <c r="C169" s="8">
        <f>IF(Applications!A169="","",Scoring!G336)</f>
        <v/>
      </c>
      <c r="D169" s="8">
        <f>IF(Applications!A169="","",Scoring!G337)</f>
        <v/>
      </c>
      <c r="E169" s="8">
        <f>IF(Applications!A169="","",IF(COUNT(C169:D169)=0,"",SUM(C169:D169)))</f>
        <v/>
      </c>
      <c r="F169" s="8">
        <f>IF(Applications!A169="","",SUM(Scoring!F336,Scoring!F337))</f>
        <v/>
      </c>
      <c r="G169" s="8">
        <f>IF(OR(Applications!A169="",E169=""),"",RANK(E169,$E$2:$E$201))</f>
        <v/>
      </c>
    </row>
    <row r="170">
      <c r="A170" s="8">
        <f>IF(Applications!A170="","",Applications!A170)</f>
        <v/>
      </c>
      <c r="B170" s="8">
        <f>IF(Applications!A170="","",Applications!C170)</f>
        <v/>
      </c>
      <c r="C170" s="8">
        <f>IF(Applications!A170="","",Scoring!G338)</f>
        <v/>
      </c>
      <c r="D170" s="8">
        <f>IF(Applications!A170="","",Scoring!G339)</f>
        <v/>
      </c>
      <c r="E170" s="8">
        <f>IF(Applications!A170="","",IF(COUNT(C170:D170)=0,"",SUM(C170:D170)))</f>
        <v/>
      </c>
      <c r="F170" s="8">
        <f>IF(Applications!A170="","",SUM(Scoring!F338,Scoring!F339))</f>
        <v/>
      </c>
      <c r="G170" s="8">
        <f>IF(OR(Applications!A170="",E170=""),"",RANK(E170,$E$2:$E$201))</f>
        <v/>
      </c>
    </row>
    <row r="171">
      <c r="A171" s="8">
        <f>IF(Applications!A171="","",Applications!A171)</f>
        <v/>
      </c>
      <c r="B171" s="8">
        <f>IF(Applications!A171="","",Applications!C171)</f>
        <v/>
      </c>
      <c r="C171" s="8">
        <f>IF(Applications!A171="","",Scoring!G340)</f>
        <v/>
      </c>
      <c r="D171" s="8">
        <f>IF(Applications!A171="","",Scoring!G341)</f>
        <v/>
      </c>
      <c r="E171" s="8">
        <f>IF(Applications!A171="","",IF(COUNT(C171:D171)=0,"",SUM(C171:D171)))</f>
        <v/>
      </c>
      <c r="F171" s="8">
        <f>IF(Applications!A171="","",SUM(Scoring!F340,Scoring!F341))</f>
        <v/>
      </c>
      <c r="G171" s="8">
        <f>IF(OR(Applications!A171="",E171=""),"",RANK(E171,$E$2:$E$201))</f>
        <v/>
      </c>
    </row>
    <row r="172">
      <c r="A172" s="8">
        <f>IF(Applications!A172="","",Applications!A172)</f>
        <v/>
      </c>
      <c r="B172" s="8">
        <f>IF(Applications!A172="","",Applications!C172)</f>
        <v/>
      </c>
      <c r="C172" s="8">
        <f>IF(Applications!A172="","",Scoring!G342)</f>
        <v/>
      </c>
      <c r="D172" s="8">
        <f>IF(Applications!A172="","",Scoring!G343)</f>
        <v/>
      </c>
      <c r="E172" s="8">
        <f>IF(Applications!A172="","",IF(COUNT(C172:D172)=0,"",SUM(C172:D172)))</f>
        <v/>
      </c>
      <c r="F172" s="8">
        <f>IF(Applications!A172="","",SUM(Scoring!F342,Scoring!F343))</f>
        <v/>
      </c>
      <c r="G172" s="8">
        <f>IF(OR(Applications!A172="",E172=""),"",RANK(E172,$E$2:$E$201))</f>
        <v/>
      </c>
    </row>
    <row r="173">
      <c r="A173" s="8">
        <f>IF(Applications!A173="","",Applications!A173)</f>
        <v/>
      </c>
      <c r="B173" s="8">
        <f>IF(Applications!A173="","",Applications!C173)</f>
        <v/>
      </c>
      <c r="C173" s="8">
        <f>IF(Applications!A173="","",Scoring!G344)</f>
        <v/>
      </c>
      <c r="D173" s="8">
        <f>IF(Applications!A173="","",Scoring!G345)</f>
        <v/>
      </c>
      <c r="E173" s="8">
        <f>IF(Applications!A173="","",IF(COUNT(C173:D173)=0,"",SUM(C173:D173)))</f>
        <v/>
      </c>
      <c r="F173" s="8">
        <f>IF(Applications!A173="","",SUM(Scoring!F344,Scoring!F345))</f>
        <v/>
      </c>
      <c r="G173" s="8">
        <f>IF(OR(Applications!A173="",E173=""),"",RANK(E173,$E$2:$E$201))</f>
        <v/>
      </c>
    </row>
    <row r="174">
      <c r="A174" s="8">
        <f>IF(Applications!A174="","",Applications!A174)</f>
        <v/>
      </c>
      <c r="B174" s="8">
        <f>IF(Applications!A174="","",Applications!C174)</f>
        <v/>
      </c>
      <c r="C174" s="8">
        <f>IF(Applications!A174="","",Scoring!G346)</f>
        <v/>
      </c>
      <c r="D174" s="8">
        <f>IF(Applications!A174="","",Scoring!G347)</f>
        <v/>
      </c>
      <c r="E174" s="8">
        <f>IF(Applications!A174="","",IF(COUNT(C174:D174)=0,"",SUM(C174:D174)))</f>
        <v/>
      </c>
      <c r="F174" s="8">
        <f>IF(Applications!A174="","",SUM(Scoring!F346,Scoring!F347))</f>
        <v/>
      </c>
      <c r="G174" s="8">
        <f>IF(OR(Applications!A174="",E174=""),"",RANK(E174,$E$2:$E$201))</f>
        <v/>
      </c>
    </row>
    <row r="175">
      <c r="A175" s="8">
        <f>IF(Applications!A175="","",Applications!A175)</f>
        <v/>
      </c>
      <c r="B175" s="8">
        <f>IF(Applications!A175="","",Applications!C175)</f>
        <v/>
      </c>
      <c r="C175" s="8">
        <f>IF(Applications!A175="","",Scoring!G348)</f>
        <v/>
      </c>
      <c r="D175" s="8">
        <f>IF(Applications!A175="","",Scoring!G349)</f>
        <v/>
      </c>
      <c r="E175" s="8">
        <f>IF(Applications!A175="","",IF(COUNT(C175:D175)=0,"",SUM(C175:D175)))</f>
        <v/>
      </c>
      <c r="F175" s="8">
        <f>IF(Applications!A175="","",SUM(Scoring!F348,Scoring!F349))</f>
        <v/>
      </c>
      <c r="G175" s="8">
        <f>IF(OR(Applications!A175="",E175=""),"",RANK(E175,$E$2:$E$201))</f>
        <v/>
      </c>
    </row>
    <row r="176">
      <c r="A176" s="8">
        <f>IF(Applications!A176="","",Applications!A176)</f>
        <v/>
      </c>
      <c r="B176" s="8">
        <f>IF(Applications!A176="","",Applications!C176)</f>
        <v/>
      </c>
      <c r="C176" s="8">
        <f>IF(Applications!A176="","",Scoring!G350)</f>
        <v/>
      </c>
      <c r="D176" s="8">
        <f>IF(Applications!A176="","",Scoring!G351)</f>
        <v/>
      </c>
      <c r="E176" s="8">
        <f>IF(Applications!A176="","",IF(COUNT(C176:D176)=0,"",SUM(C176:D176)))</f>
        <v/>
      </c>
      <c r="F176" s="8">
        <f>IF(Applications!A176="","",SUM(Scoring!F350,Scoring!F351))</f>
        <v/>
      </c>
      <c r="G176" s="8">
        <f>IF(OR(Applications!A176="",E176=""),"",RANK(E176,$E$2:$E$201))</f>
        <v/>
      </c>
    </row>
    <row r="177">
      <c r="A177" s="8">
        <f>IF(Applications!A177="","",Applications!A177)</f>
        <v/>
      </c>
      <c r="B177" s="8">
        <f>IF(Applications!A177="","",Applications!C177)</f>
        <v/>
      </c>
      <c r="C177" s="8">
        <f>IF(Applications!A177="","",Scoring!G352)</f>
        <v/>
      </c>
      <c r="D177" s="8">
        <f>IF(Applications!A177="","",Scoring!G353)</f>
        <v/>
      </c>
      <c r="E177" s="8">
        <f>IF(Applications!A177="","",IF(COUNT(C177:D177)=0,"",SUM(C177:D177)))</f>
        <v/>
      </c>
      <c r="F177" s="8">
        <f>IF(Applications!A177="","",SUM(Scoring!F352,Scoring!F353))</f>
        <v/>
      </c>
      <c r="G177" s="8">
        <f>IF(OR(Applications!A177="",E177=""),"",RANK(E177,$E$2:$E$201))</f>
        <v/>
      </c>
    </row>
    <row r="178">
      <c r="A178" s="8">
        <f>IF(Applications!A178="","",Applications!A178)</f>
        <v/>
      </c>
      <c r="B178" s="8">
        <f>IF(Applications!A178="","",Applications!C178)</f>
        <v/>
      </c>
      <c r="C178" s="8">
        <f>IF(Applications!A178="","",Scoring!G354)</f>
        <v/>
      </c>
      <c r="D178" s="8">
        <f>IF(Applications!A178="","",Scoring!G355)</f>
        <v/>
      </c>
      <c r="E178" s="8">
        <f>IF(Applications!A178="","",IF(COUNT(C178:D178)=0,"",SUM(C178:D178)))</f>
        <v/>
      </c>
      <c r="F178" s="8">
        <f>IF(Applications!A178="","",SUM(Scoring!F354,Scoring!F355))</f>
        <v/>
      </c>
      <c r="G178" s="8">
        <f>IF(OR(Applications!A178="",E178=""),"",RANK(E178,$E$2:$E$201))</f>
        <v/>
      </c>
    </row>
    <row r="179">
      <c r="A179" s="8">
        <f>IF(Applications!A179="","",Applications!A179)</f>
        <v/>
      </c>
      <c r="B179" s="8">
        <f>IF(Applications!A179="","",Applications!C179)</f>
        <v/>
      </c>
      <c r="C179" s="8">
        <f>IF(Applications!A179="","",Scoring!G356)</f>
        <v/>
      </c>
      <c r="D179" s="8">
        <f>IF(Applications!A179="","",Scoring!G357)</f>
        <v/>
      </c>
      <c r="E179" s="8">
        <f>IF(Applications!A179="","",IF(COUNT(C179:D179)=0,"",SUM(C179:D179)))</f>
        <v/>
      </c>
      <c r="F179" s="8">
        <f>IF(Applications!A179="","",SUM(Scoring!F356,Scoring!F357))</f>
        <v/>
      </c>
      <c r="G179" s="8">
        <f>IF(OR(Applications!A179="",E179=""),"",RANK(E179,$E$2:$E$201))</f>
        <v/>
      </c>
    </row>
    <row r="180">
      <c r="A180" s="8">
        <f>IF(Applications!A180="","",Applications!A180)</f>
        <v/>
      </c>
      <c r="B180" s="8">
        <f>IF(Applications!A180="","",Applications!C180)</f>
        <v/>
      </c>
      <c r="C180" s="8">
        <f>IF(Applications!A180="","",Scoring!G358)</f>
        <v/>
      </c>
      <c r="D180" s="8">
        <f>IF(Applications!A180="","",Scoring!G359)</f>
        <v/>
      </c>
      <c r="E180" s="8">
        <f>IF(Applications!A180="","",IF(COUNT(C180:D180)=0,"",SUM(C180:D180)))</f>
        <v/>
      </c>
      <c r="F180" s="8">
        <f>IF(Applications!A180="","",SUM(Scoring!F358,Scoring!F359))</f>
        <v/>
      </c>
      <c r="G180" s="8">
        <f>IF(OR(Applications!A180="",E180=""),"",RANK(E180,$E$2:$E$201))</f>
        <v/>
      </c>
    </row>
    <row r="181">
      <c r="A181" s="8">
        <f>IF(Applications!A181="","",Applications!A181)</f>
        <v/>
      </c>
      <c r="B181" s="8">
        <f>IF(Applications!A181="","",Applications!C181)</f>
        <v/>
      </c>
      <c r="C181" s="8">
        <f>IF(Applications!A181="","",Scoring!G360)</f>
        <v/>
      </c>
      <c r="D181" s="8">
        <f>IF(Applications!A181="","",Scoring!G361)</f>
        <v/>
      </c>
      <c r="E181" s="8">
        <f>IF(Applications!A181="","",IF(COUNT(C181:D181)=0,"",SUM(C181:D181)))</f>
        <v/>
      </c>
      <c r="F181" s="8">
        <f>IF(Applications!A181="","",SUM(Scoring!F360,Scoring!F361))</f>
        <v/>
      </c>
      <c r="G181" s="8">
        <f>IF(OR(Applications!A181="",E181=""),"",RANK(E181,$E$2:$E$201))</f>
        <v/>
      </c>
    </row>
    <row r="182">
      <c r="A182" s="8">
        <f>IF(Applications!A182="","",Applications!A182)</f>
        <v/>
      </c>
      <c r="B182" s="8">
        <f>IF(Applications!A182="","",Applications!C182)</f>
        <v/>
      </c>
      <c r="C182" s="8">
        <f>IF(Applications!A182="","",Scoring!G362)</f>
        <v/>
      </c>
      <c r="D182" s="8">
        <f>IF(Applications!A182="","",Scoring!G363)</f>
        <v/>
      </c>
      <c r="E182" s="8">
        <f>IF(Applications!A182="","",IF(COUNT(C182:D182)=0,"",SUM(C182:D182)))</f>
        <v/>
      </c>
      <c r="F182" s="8">
        <f>IF(Applications!A182="","",SUM(Scoring!F362,Scoring!F363))</f>
        <v/>
      </c>
      <c r="G182" s="8">
        <f>IF(OR(Applications!A182="",E182=""),"",RANK(E182,$E$2:$E$201))</f>
        <v/>
      </c>
    </row>
    <row r="183">
      <c r="A183" s="8">
        <f>IF(Applications!A183="","",Applications!A183)</f>
        <v/>
      </c>
      <c r="B183" s="8">
        <f>IF(Applications!A183="","",Applications!C183)</f>
        <v/>
      </c>
      <c r="C183" s="8">
        <f>IF(Applications!A183="","",Scoring!G364)</f>
        <v/>
      </c>
      <c r="D183" s="8">
        <f>IF(Applications!A183="","",Scoring!G365)</f>
        <v/>
      </c>
      <c r="E183" s="8">
        <f>IF(Applications!A183="","",IF(COUNT(C183:D183)=0,"",SUM(C183:D183)))</f>
        <v/>
      </c>
      <c r="F183" s="8">
        <f>IF(Applications!A183="","",SUM(Scoring!F364,Scoring!F365))</f>
        <v/>
      </c>
      <c r="G183" s="8">
        <f>IF(OR(Applications!A183="",E183=""),"",RANK(E183,$E$2:$E$201))</f>
        <v/>
      </c>
    </row>
    <row r="184">
      <c r="A184" s="8">
        <f>IF(Applications!A184="","",Applications!A184)</f>
        <v/>
      </c>
      <c r="B184" s="8">
        <f>IF(Applications!A184="","",Applications!C184)</f>
        <v/>
      </c>
      <c r="C184" s="8">
        <f>IF(Applications!A184="","",Scoring!G366)</f>
        <v/>
      </c>
      <c r="D184" s="8">
        <f>IF(Applications!A184="","",Scoring!G367)</f>
        <v/>
      </c>
      <c r="E184" s="8">
        <f>IF(Applications!A184="","",IF(COUNT(C184:D184)=0,"",SUM(C184:D184)))</f>
        <v/>
      </c>
      <c r="F184" s="8">
        <f>IF(Applications!A184="","",SUM(Scoring!F366,Scoring!F367))</f>
        <v/>
      </c>
      <c r="G184" s="8">
        <f>IF(OR(Applications!A184="",E184=""),"",RANK(E184,$E$2:$E$201))</f>
        <v/>
      </c>
    </row>
    <row r="185">
      <c r="A185" s="8">
        <f>IF(Applications!A185="","",Applications!A185)</f>
        <v/>
      </c>
      <c r="B185" s="8">
        <f>IF(Applications!A185="","",Applications!C185)</f>
        <v/>
      </c>
      <c r="C185" s="8">
        <f>IF(Applications!A185="","",Scoring!G368)</f>
        <v/>
      </c>
      <c r="D185" s="8">
        <f>IF(Applications!A185="","",Scoring!G369)</f>
        <v/>
      </c>
      <c r="E185" s="8">
        <f>IF(Applications!A185="","",IF(COUNT(C185:D185)=0,"",SUM(C185:D185)))</f>
        <v/>
      </c>
      <c r="F185" s="8">
        <f>IF(Applications!A185="","",SUM(Scoring!F368,Scoring!F369))</f>
        <v/>
      </c>
      <c r="G185" s="8">
        <f>IF(OR(Applications!A185="",E185=""),"",RANK(E185,$E$2:$E$201))</f>
        <v/>
      </c>
    </row>
    <row r="186">
      <c r="A186" s="8">
        <f>IF(Applications!A186="","",Applications!A186)</f>
        <v/>
      </c>
      <c r="B186" s="8">
        <f>IF(Applications!A186="","",Applications!C186)</f>
        <v/>
      </c>
      <c r="C186" s="8">
        <f>IF(Applications!A186="","",Scoring!G370)</f>
        <v/>
      </c>
      <c r="D186" s="8">
        <f>IF(Applications!A186="","",Scoring!G371)</f>
        <v/>
      </c>
      <c r="E186" s="8">
        <f>IF(Applications!A186="","",IF(COUNT(C186:D186)=0,"",SUM(C186:D186)))</f>
        <v/>
      </c>
      <c r="F186" s="8">
        <f>IF(Applications!A186="","",SUM(Scoring!F370,Scoring!F371))</f>
        <v/>
      </c>
      <c r="G186" s="8">
        <f>IF(OR(Applications!A186="",E186=""),"",RANK(E186,$E$2:$E$201))</f>
        <v/>
      </c>
    </row>
    <row r="187">
      <c r="A187" s="8">
        <f>IF(Applications!A187="","",Applications!A187)</f>
        <v/>
      </c>
      <c r="B187" s="8">
        <f>IF(Applications!A187="","",Applications!C187)</f>
        <v/>
      </c>
      <c r="C187" s="8">
        <f>IF(Applications!A187="","",Scoring!G372)</f>
        <v/>
      </c>
      <c r="D187" s="8">
        <f>IF(Applications!A187="","",Scoring!G373)</f>
        <v/>
      </c>
      <c r="E187" s="8">
        <f>IF(Applications!A187="","",IF(COUNT(C187:D187)=0,"",SUM(C187:D187)))</f>
        <v/>
      </c>
      <c r="F187" s="8">
        <f>IF(Applications!A187="","",SUM(Scoring!F372,Scoring!F373))</f>
        <v/>
      </c>
      <c r="G187" s="8">
        <f>IF(OR(Applications!A187="",E187=""),"",RANK(E187,$E$2:$E$201))</f>
        <v/>
      </c>
    </row>
    <row r="188">
      <c r="A188" s="8">
        <f>IF(Applications!A188="","",Applications!A188)</f>
        <v/>
      </c>
      <c r="B188" s="8">
        <f>IF(Applications!A188="","",Applications!C188)</f>
        <v/>
      </c>
      <c r="C188" s="8">
        <f>IF(Applications!A188="","",Scoring!G374)</f>
        <v/>
      </c>
      <c r="D188" s="8">
        <f>IF(Applications!A188="","",Scoring!G375)</f>
        <v/>
      </c>
      <c r="E188" s="8">
        <f>IF(Applications!A188="","",IF(COUNT(C188:D188)=0,"",SUM(C188:D188)))</f>
        <v/>
      </c>
      <c r="F188" s="8">
        <f>IF(Applications!A188="","",SUM(Scoring!F374,Scoring!F375))</f>
        <v/>
      </c>
      <c r="G188" s="8">
        <f>IF(OR(Applications!A188="",E188=""),"",RANK(E188,$E$2:$E$201))</f>
        <v/>
      </c>
    </row>
    <row r="189">
      <c r="A189" s="8">
        <f>IF(Applications!A189="","",Applications!A189)</f>
        <v/>
      </c>
      <c r="B189" s="8">
        <f>IF(Applications!A189="","",Applications!C189)</f>
        <v/>
      </c>
      <c r="C189" s="8">
        <f>IF(Applications!A189="","",Scoring!G376)</f>
        <v/>
      </c>
      <c r="D189" s="8">
        <f>IF(Applications!A189="","",Scoring!G377)</f>
        <v/>
      </c>
      <c r="E189" s="8">
        <f>IF(Applications!A189="","",IF(COUNT(C189:D189)=0,"",SUM(C189:D189)))</f>
        <v/>
      </c>
      <c r="F189" s="8">
        <f>IF(Applications!A189="","",SUM(Scoring!F376,Scoring!F377))</f>
        <v/>
      </c>
      <c r="G189" s="8">
        <f>IF(OR(Applications!A189="",E189=""),"",RANK(E189,$E$2:$E$201))</f>
        <v/>
      </c>
    </row>
    <row r="190">
      <c r="A190" s="8">
        <f>IF(Applications!A190="","",Applications!A190)</f>
        <v/>
      </c>
      <c r="B190" s="8">
        <f>IF(Applications!A190="","",Applications!C190)</f>
        <v/>
      </c>
      <c r="C190" s="8">
        <f>IF(Applications!A190="","",Scoring!G378)</f>
        <v/>
      </c>
      <c r="D190" s="8">
        <f>IF(Applications!A190="","",Scoring!G379)</f>
        <v/>
      </c>
      <c r="E190" s="8">
        <f>IF(Applications!A190="","",IF(COUNT(C190:D190)=0,"",SUM(C190:D190)))</f>
        <v/>
      </c>
      <c r="F190" s="8">
        <f>IF(Applications!A190="","",SUM(Scoring!F378,Scoring!F379))</f>
        <v/>
      </c>
      <c r="G190" s="8">
        <f>IF(OR(Applications!A190="",E190=""),"",RANK(E190,$E$2:$E$201))</f>
        <v/>
      </c>
    </row>
    <row r="191">
      <c r="A191" s="8">
        <f>IF(Applications!A191="","",Applications!A191)</f>
        <v/>
      </c>
      <c r="B191" s="8">
        <f>IF(Applications!A191="","",Applications!C191)</f>
        <v/>
      </c>
      <c r="C191" s="8">
        <f>IF(Applications!A191="","",Scoring!G380)</f>
        <v/>
      </c>
      <c r="D191" s="8">
        <f>IF(Applications!A191="","",Scoring!G381)</f>
        <v/>
      </c>
      <c r="E191" s="8">
        <f>IF(Applications!A191="","",IF(COUNT(C191:D191)=0,"",SUM(C191:D191)))</f>
        <v/>
      </c>
      <c r="F191" s="8">
        <f>IF(Applications!A191="","",SUM(Scoring!F380,Scoring!F381))</f>
        <v/>
      </c>
      <c r="G191" s="8">
        <f>IF(OR(Applications!A191="",E191=""),"",RANK(E191,$E$2:$E$201))</f>
        <v/>
      </c>
    </row>
    <row r="192">
      <c r="A192" s="8">
        <f>IF(Applications!A192="","",Applications!A192)</f>
        <v/>
      </c>
      <c r="B192" s="8">
        <f>IF(Applications!A192="","",Applications!C192)</f>
        <v/>
      </c>
      <c r="C192" s="8">
        <f>IF(Applications!A192="","",Scoring!G382)</f>
        <v/>
      </c>
      <c r="D192" s="8">
        <f>IF(Applications!A192="","",Scoring!G383)</f>
        <v/>
      </c>
      <c r="E192" s="8">
        <f>IF(Applications!A192="","",IF(COUNT(C192:D192)=0,"",SUM(C192:D192)))</f>
        <v/>
      </c>
      <c r="F192" s="8">
        <f>IF(Applications!A192="","",SUM(Scoring!F382,Scoring!F383))</f>
        <v/>
      </c>
      <c r="G192" s="8">
        <f>IF(OR(Applications!A192="",E192=""),"",RANK(E192,$E$2:$E$201))</f>
        <v/>
      </c>
    </row>
    <row r="193">
      <c r="A193" s="8">
        <f>IF(Applications!A193="","",Applications!A193)</f>
        <v/>
      </c>
      <c r="B193" s="8">
        <f>IF(Applications!A193="","",Applications!C193)</f>
        <v/>
      </c>
      <c r="C193" s="8">
        <f>IF(Applications!A193="","",Scoring!G384)</f>
        <v/>
      </c>
      <c r="D193" s="8">
        <f>IF(Applications!A193="","",Scoring!G385)</f>
        <v/>
      </c>
      <c r="E193" s="8">
        <f>IF(Applications!A193="","",IF(COUNT(C193:D193)=0,"",SUM(C193:D193)))</f>
        <v/>
      </c>
      <c r="F193" s="8">
        <f>IF(Applications!A193="","",SUM(Scoring!F384,Scoring!F385))</f>
        <v/>
      </c>
      <c r="G193" s="8">
        <f>IF(OR(Applications!A193="",E193=""),"",RANK(E193,$E$2:$E$201))</f>
        <v/>
      </c>
    </row>
    <row r="194">
      <c r="A194" s="8">
        <f>IF(Applications!A194="","",Applications!A194)</f>
        <v/>
      </c>
      <c r="B194" s="8">
        <f>IF(Applications!A194="","",Applications!C194)</f>
        <v/>
      </c>
      <c r="C194" s="8">
        <f>IF(Applications!A194="","",Scoring!G386)</f>
        <v/>
      </c>
      <c r="D194" s="8">
        <f>IF(Applications!A194="","",Scoring!G387)</f>
        <v/>
      </c>
      <c r="E194" s="8">
        <f>IF(Applications!A194="","",IF(COUNT(C194:D194)=0,"",SUM(C194:D194)))</f>
        <v/>
      </c>
      <c r="F194" s="8">
        <f>IF(Applications!A194="","",SUM(Scoring!F386,Scoring!F387))</f>
        <v/>
      </c>
      <c r="G194" s="8">
        <f>IF(OR(Applications!A194="",E194=""),"",RANK(E194,$E$2:$E$201))</f>
        <v/>
      </c>
    </row>
    <row r="195">
      <c r="A195" s="8">
        <f>IF(Applications!A195="","",Applications!A195)</f>
        <v/>
      </c>
      <c r="B195" s="8">
        <f>IF(Applications!A195="","",Applications!C195)</f>
        <v/>
      </c>
      <c r="C195" s="8">
        <f>IF(Applications!A195="","",Scoring!G388)</f>
        <v/>
      </c>
      <c r="D195" s="8">
        <f>IF(Applications!A195="","",Scoring!G389)</f>
        <v/>
      </c>
      <c r="E195" s="8">
        <f>IF(Applications!A195="","",IF(COUNT(C195:D195)=0,"",SUM(C195:D195)))</f>
        <v/>
      </c>
      <c r="F195" s="8">
        <f>IF(Applications!A195="","",SUM(Scoring!F388,Scoring!F389))</f>
        <v/>
      </c>
      <c r="G195" s="8">
        <f>IF(OR(Applications!A195="",E195=""),"",RANK(E195,$E$2:$E$201))</f>
        <v/>
      </c>
    </row>
    <row r="196">
      <c r="A196" s="8">
        <f>IF(Applications!A196="","",Applications!A196)</f>
        <v/>
      </c>
      <c r="B196" s="8">
        <f>IF(Applications!A196="","",Applications!C196)</f>
        <v/>
      </c>
      <c r="C196" s="8">
        <f>IF(Applications!A196="","",Scoring!G390)</f>
        <v/>
      </c>
      <c r="D196" s="8">
        <f>IF(Applications!A196="","",Scoring!G391)</f>
        <v/>
      </c>
      <c r="E196" s="8">
        <f>IF(Applications!A196="","",IF(COUNT(C196:D196)=0,"",SUM(C196:D196)))</f>
        <v/>
      </c>
      <c r="F196" s="8">
        <f>IF(Applications!A196="","",SUM(Scoring!F390,Scoring!F391))</f>
        <v/>
      </c>
      <c r="G196" s="8">
        <f>IF(OR(Applications!A196="",E196=""),"",RANK(E196,$E$2:$E$201))</f>
        <v/>
      </c>
    </row>
    <row r="197">
      <c r="A197" s="8">
        <f>IF(Applications!A197="","",Applications!A197)</f>
        <v/>
      </c>
      <c r="B197" s="8">
        <f>IF(Applications!A197="","",Applications!C197)</f>
        <v/>
      </c>
      <c r="C197" s="8">
        <f>IF(Applications!A197="","",Scoring!G392)</f>
        <v/>
      </c>
      <c r="D197" s="8">
        <f>IF(Applications!A197="","",Scoring!G393)</f>
        <v/>
      </c>
      <c r="E197" s="8">
        <f>IF(Applications!A197="","",IF(COUNT(C197:D197)=0,"",SUM(C197:D197)))</f>
        <v/>
      </c>
      <c r="F197" s="8">
        <f>IF(Applications!A197="","",SUM(Scoring!F392,Scoring!F393))</f>
        <v/>
      </c>
      <c r="G197" s="8">
        <f>IF(OR(Applications!A197="",E197=""),"",RANK(E197,$E$2:$E$201))</f>
        <v/>
      </c>
    </row>
    <row r="198">
      <c r="A198" s="8">
        <f>IF(Applications!A198="","",Applications!A198)</f>
        <v/>
      </c>
      <c r="B198" s="8">
        <f>IF(Applications!A198="","",Applications!C198)</f>
        <v/>
      </c>
      <c r="C198" s="8">
        <f>IF(Applications!A198="","",Scoring!G394)</f>
        <v/>
      </c>
      <c r="D198" s="8">
        <f>IF(Applications!A198="","",Scoring!G395)</f>
        <v/>
      </c>
      <c r="E198" s="8">
        <f>IF(Applications!A198="","",IF(COUNT(C198:D198)=0,"",SUM(C198:D198)))</f>
        <v/>
      </c>
      <c r="F198" s="8">
        <f>IF(Applications!A198="","",SUM(Scoring!F394,Scoring!F395))</f>
        <v/>
      </c>
      <c r="G198" s="8">
        <f>IF(OR(Applications!A198="",E198=""),"",RANK(E198,$E$2:$E$201))</f>
        <v/>
      </c>
    </row>
    <row r="199">
      <c r="A199" s="8">
        <f>IF(Applications!A199="","",Applications!A199)</f>
        <v/>
      </c>
      <c r="B199" s="8">
        <f>IF(Applications!A199="","",Applications!C199)</f>
        <v/>
      </c>
      <c r="C199" s="8">
        <f>IF(Applications!A199="","",Scoring!G396)</f>
        <v/>
      </c>
      <c r="D199" s="8">
        <f>IF(Applications!A199="","",Scoring!G397)</f>
        <v/>
      </c>
      <c r="E199" s="8">
        <f>IF(Applications!A199="","",IF(COUNT(C199:D199)=0,"",SUM(C199:D199)))</f>
        <v/>
      </c>
      <c r="F199" s="8">
        <f>IF(Applications!A199="","",SUM(Scoring!F396,Scoring!F397))</f>
        <v/>
      </c>
      <c r="G199" s="8">
        <f>IF(OR(Applications!A199="",E199=""),"",RANK(E199,$E$2:$E$201))</f>
        <v/>
      </c>
    </row>
    <row r="200">
      <c r="A200" s="8">
        <f>IF(Applications!A200="","",Applications!A200)</f>
        <v/>
      </c>
      <c r="B200" s="8">
        <f>IF(Applications!A200="","",Applications!C200)</f>
        <v/>
      </c>
      <c r="C200" s="8">
        <f>IF(Applications!A200="","",Scoring!G398)</f>
        <v/>
      </c>
      <c r="D200" s="8">
        <f>IF(Applications!A200="","",Scoring!G399)</f>
        <v/>
      </c>
      <c r="E200" s="8">
        <f>IF(Applications!A200="","",IF(COUNT(C200:D200)=0,"",SUM(C200:D200)))</f>
        <v/>
      </c>
      <c r="F200" s="8">
        <f>IF(Applications!A200="","",SUM(Scoring!F398,Scoring!F399))</f>
        <v/>
      </c>
      <c r="G200" s="8">
        <f>IF(OR(Applications!A200="",E200=""),"",RANK(E200,$E$2:$E$201))</f>
        <v/>
      </c>
    </row>
    <row r="201">
      <c r="A201" s="8">
        <f>IF(Applications!A201="","",Applications!A201)</f>
        <v/>
      </c>
      <c r="B201" s="8">
        <f>IF(Applications!A201="","",Applications!C201)</f>
        <v/>
      </c>
      <c r="C201" s="8">
        <f>IF(Applications!A201="","",Scoring!G400)</f>
        <v/>
      </c>
      <c r="D201" s="8">
        <f>IF(Applications!A201="","",Scoring!G401)</f>
        <v/>
      </c>
      <c r="E201" s="8">
        <f>IF(Applications!A201="","",IF(COUNT(C201:D201)=0,"",SUM(C201:D201)))</f>
        <v/>
      </c>
      <c r="F201" s="8">
        <f>IF(Applications!A201="","",SUM(Scoring!F400,Scoring!F401))</f>
        <v/>
      </c>
      <c r="G201" s="8">
        <f>IF(OR(Applications!A201="",E201=""),"",RANK(E201,$E$2:$E$201))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2026-07-12T23:15:03Z</dcterms:created>
  <dcterms:modified xsi:type="dcterms:W3CDTF">2026-07-12T23:15:03Z</dcterms:modified>
</cp:coreProperties>
</file>